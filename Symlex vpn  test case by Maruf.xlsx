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TT\Downloads\"/>
    </mc:Choice>
  </mc:AlternateContent>
  <bookViews>
    <workbookView xWindow="0" yWindow="0" windowWidth="14380" windowHeight="4190" tabRatio="741" activeTab="1"/>
  </bookViews>
  <sheets>
    <sheet name="Sign Up and Log-In" sheetId="1" r:id="rId1"/>
    <sheet name="App Home Page" sheetId="2" r:id="rId2"/>
    <sheet name="Features" sheetId="3" r:id="rId3"/>
    <sheet name="login" sheetId="4" r:id="rId4"/>
    <sheet name="usability testing" sheetId="5" r:id="rId5"/>
    <sheet name="Performance test" sheetId="6" r:id="rId6"/>
  </sheets>
  <definedNames>
    <definedName name="mm">'Sign Up and Log-In'!$J$8</definedName>
    <definedName name="verify_package_Design">'Sign Up and Log-In'!$J$8</definedName>
  </definedNames>
  <calcPr calcId="162913"/>
</workbook>
</file>

<file path=xl/calcChain.xml><?xml version="1.0" encoding="utf-8"?>
<calcChain xmlns="http://schemas.openxmlformats.org/spreadsheetml/2006/main">
  <c r="J4" i="5" l="1"/>
  <c r="J3" i="5"/>
  <c r="J4" i="4"/>
  <c r="J3" i="4"/>
  <c r="I5" i="2"/>
  <c r="I4" i="2"/>
  <c r="I3" i="2"/>
  <c r="I2" i="2"/>
  <c r="J5" i="1"/>
  <c r="J4" i="1"/>
  <c r="J3" i="1"/>
  <c r="J2" i="1"/>
</calcChain>
</file>

<file path=xl/sharedStrings.xml><?xml version="1.0" encoding="utf-8"?>
<sst xmlns="http://schemas.openxmlformats.org/spreadsheetml/2006/main" count="752" uniqueCount="333">
  <si>
    <t>Product Name</t>
  </si>
  <si>
    <t>Symlex Vpn</t>
  </si>
  <si>
    <t>TC Start Date</t>
  </si>
  <si>
    <t>TC Execution Start Date</t>
  </si>
  <si>
    <t>TEST CASE SUMMARY</t>
  </si>
  <si>
    <t>Module Name</t>
  </si>
  <si>
    <t>Registration</t>
  </si>
  <si>
    <t>TC End Date</t>
  </si>
  <si>
    <t>TC Execution End Date</t>
  </si>
  <si>
    <t>PASS</t>
  </si>
  <si>
    <t>Epic</t>
  </si>
  <si>
    <t>Test Case Developed By</t>
  </si>
  <si>
    <t>Browser (tested)</t>
  </si>
  <si>
    <t>Yes</t>
  </si>
  <si>
    <t>FAIL</t>
  </si>
  <si>
    <t>Developer Name (TL)</t>
  </si>
  <si>
    <t>Test Case Reviewed By</t>
  </si>
  <si>
    <t>Performance (tested)</t>
  </si>
  <si>
    <t>WARNING</t>
  </si>
  <si>
    <t>Test Executed by</t>
  </si>
  <si>
    <t>TOTAL</t>
  </si>
  <si>
    <t>Test Case ID/Name</t>
  </si>
  <si>
    <t>Test Case Description</t>
  </si>
  <si>
    <t>Test Data</t>
  </si>
  <si>
    <t>Step Description</t>
  </si>
  <si>
    <t>Expected Result</t>
  </si>
  <si>
    <t>Actual result</t>
  </si>
  <si>
    <t>Status</t>
  </si>
  <si>
    <t>Remarks</t>
  </si>
  <si>
    <r>
      <rPr>
        <sz val="10"/>
        <color rgb="FF000000"/>
        <rFont val="Calibri"/>
      </rPr>
      <t xml:space="preserve">TC_Reg_01  </t>
    </r>
    <r>
      <rPr>
        <b/>
        <sz val="10"/>
        <color rgb="FF000000"/>
        <rFont val="Calibri"/>
      </rPr>
      <t>(Sign Up)</t>
    </r>
  </si>
  <si>
    <r>
      <rPr>
        <sz val="10"/>
        <color rgb="FF000000"/>
        <rFont val="Calibri"/>
      </rPr>
      <t>Checking wheather the system takes</t>
    </r>
    <r>
      <rPr>
        <b/>
        <sz val="10"/>
        <color rgb="FF000000"/>
        <rFont val="Calibri"/>
      </rPr>
      <t xml:space="preserve"> invalid email</t>
    </r>
    <r>
      <rPr>
        <sz val="10"/>
        <color rgb="FF000000"/>
        <rFont val="Calibri"/>
      </rPr>
      <t xml:space="preserve"> address </t>
    </r>
  </si>
  <si>
    <t>amitestcase@bodl.com</t>
  </si>
  <si>
    <t>Step-1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go to http://204.12.216.210:8093/register                                                                                                                                                                                                                                                               Step-3  Click on signup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Fill every field with invalid email address.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Click on "create an account"</t>
  </si>
  <si>
    <t>Account should not be created and give an error messege that "email is invalid"</t>
  </si>
  <si>
    <t>Account is created and no error is shown</t>
  </si>
  <si>
    <r>
      <rPr>
        <sz val="10"/>
        <color rgb="FF000000"/>
        <rFont val="Calibri"/>
      </rPr>
      <t xml:space="preserve">TC_Reg_02  </t>
    </r>
    <r>
      <rPr>
        <b/>
        <sz val="10"/>
        <color rgb="FF000000"/>
        <rFont val="Calibri"/>
      </rPr>
      <t>(Sign Up)</t>
    </r>
  </si>
  <si>
    <r>
      <rPr>
        <sz val="10"/>
        <color rgb="FF000000"/>
        <rFont val="Calibri"/>
      </rPr>
      <t xml:space="preserve">Checking wheather the system takes </t>
    </r>
    <r>
      <rPr>
        <b/>
        <sz val="10"/>
        <color rgb="FF000000"/>
        <rFont val="Calibri"/>
      </rPr>
      <t>valid email</t>
    </r>
    <r>
      <rPr>
        <sz val="10"/>
        <color rgb="FF000000"/>
        <rFont val="Calibri"/>
      </rPr>
      <t xml:space="preserve"> address </t>
    </r>
  </si>
  <si>
    <t>raselr5006@gmail.com</t>
  </si>
  <si>
    <t xml:space="preserve">Step-1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go to http://204.12.216.210:8093/login                                                                                                                                                                                                                                                                 Step-3  Click on signup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Fill every field with valid email address.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Click on "create an account" </t>
  </si>
  <si>
    <t>Account should  be created</t>
  </si>
  <si>
    <t xml:space="preserve">Account is  created </t>
  </si>
  <si>
    <r>
      <rPr>
        <sz val="10"/>
        <color rgb="FF000000"/>
        <rFont val="Calibri"/>
      </rPr>
      <t xml:space="preserve">TC_Reg_03  </t>
    </r>
    <r>
      <rPr>
        <b/>
        <sz val="10"/>
        <color rgb="FF000000"/>
        <rFont val="Calibri"/>
      </rPr>
      <t>(Sign Up)</t>
    </r>
  </si>
  <si>
    <t xml:space="preserve">Checking wheather user can signup using a weak password </t>
  </si>
  <si>
    <t>pass: 12346789</t>
  </si>
  <si>
    <t>Step-1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go to http://204.12.216.210:8093/login                                                                                                                                                                                                                                                                 Step-3  Click on sign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Fill every field except "Password"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Fill "Password" field without Lower Case, Upper Case, Digits, Special Characters and less then 4 Cheracters     Step-6 create an account</t>
  </si>
  <si>
    <t>An warning should be given that it is not a strong password</t>
  </si>
  <si>
    <t>No warning is given</t>
  </si>
  <si>
    <r>
      <rPr>
        <sz val="10"/>
        <color theme="1"/>
        <rFont val="Calibri"/>
      </rPr>
      <t>TC_Reg_04</t>
    </r>
    <r>
      <rPr>
        <b/>
        <sz val="10"/>
        <color theme="1"/>
        <rFont val="Calibri"/>
      </rPr>
      <t xml:space="preserve"> (Sign Up)</t>
    </r>
  </si>
  <si>
    <t>Checking whether the confirm password only allows the matched password</t>
  </si>
  <si>
    <t xml:space="preserve">pass: 12345   confirm pass: 123456725                                                                </t>
  </si>
  <si>
    <t>Step-1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go to http://204.12.216.210:8093/login                                                                                                                                                                                                                                                                Step-3  Click on sign 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Fill every field with "Password"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Fill "Password" field without Lower Case, Upper Case,Special Characters and less then 4 Cheracters &amp; click continue</t>
  </si>
  <si>
    <t>Account should not be created and give an error messege</t>
  </si>
  <si>
    <t>Account is not created and says that "Passwords do not match"</t>
  </si>
  <si>
    <r>
      <rPr>
        <sz val="10"/>
        <color theme="1"/>
        <rFont val="Calibri"/>
      </rPr>
      <t>TC_Reg_05</t>
    </r>
    <r>
      <rPr>
        <b/>
        <sz val="10"/>
        <color theme="1"/>
        <rFont val="Calibri"/>
      </rPr>
      <t xml:space="preserve"> (SignUp)</t>
    </r>
  </si>
  <si>
    <t xml:space="preserve">Checking whether Confirm Password feature matches the given password correctly </t>
  </si>
  <si>
    <t xml:space="preserve">pass: AA112233   confirm pass: AA112233                                                               </t>
  </si>
  <si>
    <t>Step-1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go to http://204.12.216.210:8093/login                                                                                                                                                                                                                                                               Step-3  Click on sign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Fill every field with "Valid Password"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Fill "Confirm Password"  &amp; Click on "create an account" .</t>
  </si>
  <si>
    <t xml:space="preserve">Account should  be created </t>
  </si>
  <si>
    <t>Account is created successfully</t>
  </si>
  <si>
    <r>
      <rPr>
        <sz val="10"/>
        <color theme="1"/>
        <rFont val="Calibri"/>
      </rPr>
      <t xml:space="preserve">TC_Reg_06 </t>
    </r>
    <r>
      <rPr>
        <b/>
        <sz val="10"/>
        <color theme="1"/>
        <rFont val="Calibri"/>
      </rPr>
      <t>(SignUp)</t>
    </r>
  </si>
  <si>
    <t>Checking whether passwords length less than 6 is allowed or not</t>
  </si>
  <si>
    <t>pass:123</t>
  </si>
  <si>
    <t>Step-1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go to http://204.12.216.210:8093/login                                                                                                                                                                                                                                                     Step-3  Click on sign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Fill "password" with 3 characters.</t>
  </si>
  <si>
    <t>Account should not be created and give an error messege that "password length should be 6 at least"</t>
  </si>
  <si>
    <t>Account is not created and error messege appeared</t>
  </si>
  <si>
    <r>
      <rPr>
        <sz val="10"/>
        <color theme="1"/>
        <rFont val="Calibri"/>
      </rPr>
      <t xml:space="preserve">TC_Reg_07 </t>
    </r>
    <r>
      <rPr>
        <b/>
        <sz val="10"/>
        <color theme="1"/>
        <rFont val="Calibri"/>
      </rPr>
      <t>(SignUp)</t>
    </r>
  </si>
  <si>
    <t>Checking whether "Terms of Service and Privacy Policy" shows the Terms of Service and Privacy Policy or not</t>
  </si>
  <si>
    <t>N/A</t>
  </si>
  <si>
    <t xml:space="preserve">Step-1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go to http://204.12.216.210:8093/login                                                                                                                                                                                                                                                               Step-3  Click on sign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 Click on the "Terms of Service and Privacy policy" </t>
  </si>
  <si>
    <t>It should redirect to the page where the terms of Service and privacy policy is described</t>
  </si>
  <si>
    <t>Worked As expected</t>
  </si>
  <si>
    <r>
      <rPr>
        <sz val="10"/>
        <color rgb="FF000000"/>
        <rFont val="Calibri"/>
      </rPr>
      <t xml:space="preserve">TC_Reg_08 </t>
    </r>
    <r>
      <rPr>
        <b/>
        <sz val="10"/>
        <color rgb="FF000000"/>
        <rFont val="Calibri"/>
      </rPr>
      <t>(Log In)</t>
    </r>
  </si>
  <si>
    <t>Checking if user can successfully Log in with valid email and passoword</t>
  </si>
  <si>
    <t>email' : raselr5006@gmail.com
pass: AA112233</t>
  </si>
  <si>
    <t>Step-1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go to http://204.12.216.210:8093/login                                                                                                                                                                                                                                                               Step-3  Fiil out every field with valid email and 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 Click on the "Continue" button</t>
  </si>
  <si>
    <t>It should successfully let a valid user log in into the system</t>
  </si>
  <si>
    <t>User could log in succfully</t>
  </si>
  <si>
    <r>
      <rPr>
        <sz val="10"/>
        <color rgb="FF000000"/>
        <rFont val="Calibri"/>
      </rPr>
      <t xml:space="preserve">TC_Reg_09 </t>
    </r>
    <r>
      <rPr>
        <b/>
        <sz val="10"/>
        <color rgb="FF000000"/>
        <rFont val="Calibri"/>
      </rPr>
      <t>(Log In)</t>
    </r>
  </si>
  <si>
    <t>Checking if user can  Log in with invalid email</t>
  </si>
  <si>
    <t>email: gertus345@gmail.com
pass: xyz345678</t>
  </si>
  <si>
    <t>Step-1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go to http://204.12.216.210:8093/login                                                                                                                                                                                                                                                               Step-3  Fiil out email field with invalid email                                                                                                                                                                                                                                   Step-4  Click on the "Continue" button</t>
  </si>
  <si>
    <t>An error messege should appear</t>
  </si>
  <si>
    <t>Error messge appeard that "Username Or Email is Invalid !"</t>
  </si>
  <si>
    <r>
      <rPr>
        <sz val="10"/>
        <color rgb="FF000000"/>
        <rFont val="Calibri"/>
      </rPr>
      <t xml:space="preserve">TC_Reg_010 </t>
    </r>
    <r>
      <rPr>
        <b/>
        <sz val="10"/>
        <color rgb="FF000000"/>
        <rFont val="Calibri"/>
      </rPr>
      <t>(Log In)</t>
    </r>
  </si>
  <si>
    <t>Checking if user can  Log in with invalid password</t>
  </si>
  <si>
    <t>email: raselr5006@gmail.com
pass: 123456</t>
  </si>
  <si>
    <t>Step-1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go to http://204.12.216.210:8093/login                                                                                                                                                                                                                                                               Step-3  Fiil out email field with invalid pass                                                                                                                                                                                                                                  Step-4  Click on the "Continue" button</t>
  </si>
  <si>
    <t>An error messege should appear telling that the password is wrong</t>
  </si>
  <si>
    <t>Error messge appeard and login wasn’t successful</t>
  </si>
  <si>
    <r>
      <rPr>
        <sz val="10"/>
        <color rgb="FF000000"/>
        <rFont val="Calibri"/>
      </rPr>
      <t xml:space="preserve">
TC_Reg_011 </t>
    </r>
    <r>
      <rPr>
        <b/>
        <sz val="10"/>
        <color rgb="FF000000"/>
        <rFont val="Calibri"/>
      </rPr>
      <t>(Log In &amp;
 Forget Pass)</t>
    </r>
  </si>
  <si>
    <t>Check if Forget Password button works</t>
  </si>
  <si>
    <t>Step-1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go to http://204.12.216.210:8093/login                                                                                                                                                                                                                                                               Step-3  Fiil out email field                                                                                                                                                                                                                              Step-4  Click on the "Forget Password" button</t>
  </si>
  <si>
    <t>Forgot Password Section appeard with the email field</t>
  </si>
  <si>
    <t>Worked as expected</t>
  </si>
  <si>
    <r>
      <rPr>
        <sz val="10"/>
        <color rgb="FF000000"/>
        <rFont val="Calibri"/>
      </rPr>
      <t xml:space="preserve">TC_Reg_012 </t>
    </r>
    <r>
      <rPr>
        <b/>
        <sz val="10"/>
        <color rgb="FF000000"/>
        <rFont val="Calibri"/>
      </rPr>
      <t>(Log In &amp;
 Forget Pass)</t>
    </r>
  </si>
  <si>
    <t>Check if Forget Password works with valid email</t>
  </si>
  <si>
    <t>email: raselr5006@gmail.com</t>
  </si>
  <si>
    <t>Password reset link should be sent to email</t>
  </si>
  <si>
    <r>
      <rPr>
        <sz val="10"/>
        <color rgb="FF000000"/>
        <rFont val="Calibri"/>
      </rPr>
      <t xml:space="preserve">TC_Reg_013 </t>
    </r>
    <r>
      <rPr>
        <b/>
        <sz val="10"/>
        <color rgb="FF000000"/>
        <rFont val="Calibri"/>
      </rPr>
      <t>(Log In &amp;
 Forget Pass)</t>
    </r>
  </si>
  <si>
    <t>Check if Forget 
Password works with
invalid email</t>
  </si>
  <si>
    <t>email:gertus345@gmail.com</t>
  </si>
  <si>
    <t>Error messege should appear 
that you are not registered please signup</t>
  </si>
  <si>
    <t>Error messege appeared</t>
  </si>
  <si>
    <t>App Home page</t>
  </si>
  <si>
    <r>
      <rPr>
        <sz val="10"/>
        <color rgb="FF000000"/>
        <rFont val="Calibri"/>
      </rPr>
      <t xml:space="preserve">TC_001  </t>
    </r>
    <r>
      <rPr>
        <b/>
        <sz val="10"/>
        <color rgb="FF000000"/>
        <rFont val="Calibri"/>
      </rPr>
      <t>(My Account)</t>
    </r>
  </si>
  <si>
    <t>Checking whether the system loads the home page successfully for every logged in user</t>
  </si>
  <si>
    <t>Logged in user should be able to enter into the home page</t>
  </si>
  <si>
    <t>Home page appeared</t>
  </si>
  <si>
    <r>
      <rPr>
        <sz val="10"/>
        <color rgb="FF000000"/>
        <rFont val="Calibri"/>
      </rPr>
      <t xml:space="preserve">TC_002  </t>
    </r>
    <r>
      <rPr>
        <b/>
        <sz val="10"/>
        <color rgb="FF000000"/>
        <rFont val="Calibri"/>
      </rPr>
      <t>(My Account)</t>
    </r>
  </si>
  <si>
    <t>Checking wheather all information of my account is correct</t>
  </si>
  <si>
    <t xml:space="preserve">Expiry Date of my account is okay </t>
  </si>
  <si>
    <t>Expire should be okay because it’s a free trail version</t>
  </si>
  <si>
    <r>
      <rPr>
        <sz val="10"/>
        <color rgb="FF000000"/>
        <rFont val="Calibri"/>
      </rPr>
      <t xml:space="preserve">TC_003 </t>
    </r>
    <r>
      <rPr>
        <b/>
        <sz val="10"/>
        <color rgb="FF000000"/>
        <rFont val="Calibri"/>
      </rPr>
      <t xml:space="preserve"> (My Account)</t>
    </r>
  </si>
  <si>
    <t>Checking wheather there are any redundant section</t>
  </si>
  <si>
    <t>In "explore your existing features" section every feature should be unique</t>
  </si>
  <si>
    <t>In "explore your existing features" section there are same feature of ad blocker with same link twice</t>
  </si>
  <si>
    <r>
      <rPr>
        <sz val="10"/>
        <color theme="1"/>
        <rFont val="Calibri"/>
      </rPr>
      <t xml:space="preserve">TC_004  </t>
    </r>
    <r>
      <rPr>
        <b/>
        <sz val="10"/>
        <color theme="1"/>
        <rFont val="Calibri"/>
      </rPr>
      <t>(My Account)</t>
    </r>
  </si>
  <si>
    <t>Checking whether the show password icon  works</t>
  </si>
  <si>
    <t xml:space="preserve">N/A                                                             </t>
  </si>
  <si>
    <t>We should  show and hide password clicking this icon</t>
  </si>
  <si>
    <r>
      <rPr>
        <sz val="10"/>
        <color theme="1"/>
        <rFont val="Calibri"/>
      </rPr>
      <t xml:space="preserve">TC_005  </t>
    </r>
    <r>
      <rPr>
        <b/>
        <sz val="10"/>
        <color theme="1"/>
        <rFont val="Calibri"/>
      </rPr>
      <t>(My Account)</t>
    </r>
  </si>
  <si>
    <t>Checking whether the change password   works</t>
  </si>
  <si>
    <t xml:space="preserve">N/A                                                               </t>
  </si>
  <si>
    <t>Password changing form should appear</t>
  </si>
  <si>
    <t>Password can be changed here</t>
  </si>
  <si>
    <r>
      <rPr>
        <sz val="10"/>
        <color theme="1"/>
        <rFont val="Calibri"/>
      </rPr>
      <t xml:space="preserve">TC_005
</t>
    </r>
    <r>
      <rPr>
        <b/>
        <sz val="10"/>
        <color theme="1"/>
        <rFont val="Calibri"/>
      </rPr>
      <t>(Connected Devices)</t>
    </r>
  </si>
  <si>
    <t>Checking whether all devices list are shown where the user is connected</t>
  </si>
  <si>
    <t>Should show all devices information in which the user is logged in</t>
  </si>
  <si>
    <t>No devices are shown</t>
  </si>
  <si>
    <t>Project name</t>
  </si>
  <si>
    <t>Symlex VPN</t>
  </si>
  <si>
    <t>Created By</t>
  </si>
  <si>
    <t>Feature No</t>
  </si>
  <si>
    <t>Feature Name</t>
  </si>
  <si>
    <t>Description</t>
  </si>
  <si>
    <t xml:space="preserve"> Home</t>
  </si>
  <si>
    <t>In home section user can see the overall prodcut overview in bird eye.</t>
  </si>
  <si>
    <t>Features</t>
  </si>
  <si>
    <t>In this section user can read the product features like :- secure browsing experience,borderless internet facility etc.</t>
  </si>
  <si>
    <t>Pricing</t>
  </si>
  <si>
    <t>In this section user choose  the product price pakages easily.</t>
  </si>
  <si>
    <t>Server List</t>
  </si>
  <si>
    <t>In download section user can download this vpn for several Platfrom like android,windows etc</t>
  </si>
  <si>
    <t>Streaming</t>
  </si>
  <si>
    <t>In this section user explore which geo restricted streaming platform they can watch.</t>
  </si>
  <si>
    <t>In this section user can watch all the server lists into symlex vpn.</t>
  </si>
  <si>
    <t>Testimonials</t>
  </si>
  <si>
    <t>In this section user can verify some reviews and clients comments</t>
  </si>
  <si>
    <t xml:space="preserve"> Blog</t>
  </si>
  <si>
    <t>In this section user can Read some blog about symlex vpn.</t>
  </si>
  <si>
    <t>Support</t>
  </si>
  <si>
    <t>In this support section user can chat with customer care executive Live wich is  alive in 24/7.</t>
  </si>
  <si>
    <t>Login</t>
  </si>
  <si>
    <t>In this section user can login using their registered credentials.</t>
  </si>
  <si>
    <t>Download</t>
  </si>
  <si>
    <t>In download section user can download this vpn for several Platfrom like android,windows etc.</t>
  </si>
  <si>
    <t>TASK: 02</t>
  </si>
  <si>
    <t>24/12/2022</t>
  </si>
  <si>
    <t xml:space="preserve">Test Case Developed By </t>
  </si>
  <si>
    <t>YES</t>
  </si>
  <si>
    <t xml:space="preserve">Test Case Reviewed By </t>
  </si>
  <si>
    <t>Test Case ID</t>
  </si>
  <si>
    <t>Test Case</t>
  </si>
  <si>
    <t>Actual Result</t>
  </si>
  <si>
    <t>Testing Type</t>
  </si>
  <si>
    <t>TC_Reg_001</t>
  </si>
  <si>
    <t xml:space="preserve">Checking grammatical or spelling mistake </t>
  </si>
  <si>
    <t xml:space="preserve">No grammatical or spelling mistake </t>
  </si>
  <si>
    <t>Non- Functionality Testing</t>
  </si>
  <si>
    <t>TC_Reg_002</t>
  </si>
  <si>
    <t>Log in button</t>
  </si>
  <si>
    <t>Checking the "Log in" page working properly or not</t>
  </si>
  <si>
    <t xml:space="preserve">Should apprear on sign up page </t>
  </si>
  <si>
    <t>Appearing on sign up page properly</t>
  </si>
  <si>
    <t> Accessibility Testing</t>
  </si>
  <si>
    <t>TC_Reg_003</t>
  </si>
  <si>
    <t>Usename and Password check</t>
  </si>
  <si>
    <t>Valid Username and password</t>
  </si>
  <si>
    <t>username: arafatr234@gmail.com      pass: AA112233</t>
  </si>
  <si>
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"http://204.12.216.210:8093/login"                                                                                                                                                                                                                                                                 Step-3  Click on Log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 Fill username field and password with proper input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 -5 click "continue" button</t>
  </si>
  <si>
    <t>Should take the input and signed up properly</t>
  </si>
  <si>
    <t>Appearing on home page properly</t>
  </si>
  <si>
    <t>Functional testing</t>
  </si>
  <si>
    <t>TC_Reg_004</t>
  </si>
  <si>
    <t>Both field empty</t>
  </si>
  <si>
    <t xml:space="preserve">Username :                                password:       </t>
  </si>
  <si>
    <t>an error message should be appeared</t>
  </si>
  <si>
    <t>an Error message appeared</t>
  </si>
  <si>
    <t>TC_Reg_005</t>
  </si>
  <si>
    <t xml:space="preserve"> Valid input and password with invalid</t>
  </si>
  <si>
    <t xml:space="preserve">username: raselr5006@gmail.com        pass: </t>
  </si>
  <si>
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"http://204.12.216.210:8093/login"                                                                                                                                                                                                                                                                 Step-3  Click on Log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 Fill username field  with valid input and password with empty input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 -5 click "continue" button</t>
  </si>
  <si>
    <t>TC_Reg_006</t>
  </si>
  <si>
    <t xml:space="preserve"> Empty input and password with valid input</t>
  </si>
  <si>
    <t>username: araf                        pass: 123456</t>
  </si>
  <si>
    <t>TC_Reg_007</t>
  </si>
  <si>
    <t>Invalid Username and invalid password</t>
  </si>
  <si>
    <t>username : renex@gmail.com                 pass : 567</t>
  </si>
  <si>
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"http://204.12.216.210:8093/login"                                                                                                                                                                                                                                                                 Step-3  Click on Log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 Fill username field  with invalid input and password with invalid input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 -5 click "continue" button</t>
  </si>
  <si>
    <t>TC_Reg_008</t>
  </si>
  <si>
    <t>Valid Username and invalid password</t>
  </si>
  <si>
    <t>Username : gesture@viemo.com         pass : 4567</t>
  </si>
  <si>
    <t>TC_Reg_009</t>
  </si>
  <si>
    <t>Invalid Username and valid password</t>
  </si>
  <si>
    <t>Username : raaaaaaaa@gmail.com          pass : 123456</t>
  </si>
  <si>
    <t>worked as expected</t>
  </si>
  <si>
    <t>TASK: 03</t>
  </si>
  <si>
    <t>All Page</t>
  </si>
  <si>
    <t>25/12/2022</t>
  </si>
  <si>
    <t>Usability Testing</t>
  </si>
  <si>
    <t>Grammatical and spelling errors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</si>
  <si>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home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</si>
  <si>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Text and field alignment</t>
  </si>
  <si>
    <t>Checking the alignement of all text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</si>
  <si>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home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</si>
  <si>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All the text  and field should be properly aligned.</t>
  </si>
  <si>
    <t>Scroll bar</t>
  </si>
  <si>
    <t>Checking scroll bar appears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</si>
  <si>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home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</si>
  <si>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Scroll bar should appear only if required.</t>
  </si>
  <si>
    <t>Seeing information</t>
  </si>
  <si>
    <t>Verifying user can see all the information on home page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</si>
  <si>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home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</si>
  <si>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User should see all the information on home page</t>
  </si>
  <si>
    <t>Button and space</t>
  </si>
  <si>
    <t>Checking all the buttons  and space should be in a standard format and size.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</si>
  <si>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home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</si>
  <si>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all the buttons and space should be in a standard format and size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</si>
  <si>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features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</si>
  <si>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features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</si>
  <si>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features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</si>
  <si>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features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</si>
  <si>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TC_Reg_010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</si>
  <si>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features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</si>
  <si>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TC_Reg_011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</si>
  <si>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pricing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</si>
  <si>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TC_Reg_012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</si>
  <si>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pricing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</si>
  <si>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TC_Reg_013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</si>
  <si>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pricing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</si>
  <si>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TC_Reg_014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</si>
  <si>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pricing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</si>
  <si>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TC_Reg_015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</si>
  <si>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pricing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</si>
  <si>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TC_Reg_016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</si>
  <si>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download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</si>
  <si>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TC_Reg_017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</si>
  <si>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download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</si>
  <si>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TC_Reg_018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</si>
  <si>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download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</si>
  <si>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TC_Reg_019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</si>
  <si>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download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</si>
  <si>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TC_Reg_020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</si>
  <si>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download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</si>
  <si>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TC_Reg_021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</si>
  <si>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server list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</si>
  <si>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TC_Reg_022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</si>
  <si>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server list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</si>
  <si>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TC_Reg_023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</si>
  <si>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server list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</si>
  <si>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TC_Reg_024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</si>
  <si>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server list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</si>
  <si>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TC_Reg_025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</si>
  <si>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server list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</si>
  <si>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TC_Reg_026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</si>
  <si>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streaming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</si>
  <si>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TC_Reg_027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</si>
  <si>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streaming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</si>
  <si>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TC_Reg_028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</si>
  <si>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streaming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</si>
  <si>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TC_Reg_029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</si>
  <si>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streaming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</si>
  <si>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TC_Reg_030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</si>
  <si>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streaming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</si>
  <si>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TC_Reg_031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</si>
  <si>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affiliate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</si>
  <si>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TC_Reg_032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</si>
  <si>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affiliate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</si>
  <si>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TC_Reg_033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</si>
  <si>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affiliate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</si>
  <si>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TC_Reg_034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</si>
  <si>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affiliate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</si>
  <si>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TC_Reg_035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</si>
  <si>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affiliate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</si>
  <si>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TC_Reg_036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</si>
  <si>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testimonials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</si>
  <si>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TC_Reg_037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</si>
  <si>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testimonials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</si>
  <si>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TC_Reg_038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</si>
  <si>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testimonials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</si>
  <si>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TC_Reg_039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</si>
  <si>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testimonials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</si>
  <si>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TC_Reg_040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</si>
  <si>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testimonials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</si>
  <si>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TC_Reg_041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</si>
  <si>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blog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</si>
  <si>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TC_Reg_042</t>
  </si>
  <si>
    <r>
      <rPr>
        <sz val="10"/>
        <rFont val="Calibri, Arial"/>
      </rPr>
  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</t>
    </r>
    <r>
      <rPr>
        <u/>
        <sz val="10"/>
        <color rgb="FF1155CC"/>
        <rFont val="Calibri, Arial"/>
      </rPr>
      <t>https://symlexvpn.com</t>
    </r>
    <r>
      <rPr>
        <sz val="10"/>
        <rFont val="Calibri, Arial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                         Step-3  Login with valid information              step-4 go to support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Step-5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</si>
  <si>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TASK: 04</t>
  </si>
  <si>
    <t>Performance</t>
  </si>
  <si>
    <t>Structure</t>
  </si>
  <si>
    <t>Performance testing</t>
  </si>
  <si>
    <t>Performance testing tool</t>
  </si>
  <si>
    <t>Gtmatrix</t>
  </si>
  <si>
    <t>Gtmatrix Grade</t>
  </si>
  <si>
    <t>E</t>
  </si>
  <si>
    <t xml:space="preserve">Performance </t>
  </si>
  <si>
    <t>LCP</t>
  </si>
  <si>
    <t>5.9s</t>
  </si>
  <si>
    <t>TBT</t>
  </si>
  <si>
    <t>2ms</t>
  </si>
  <si>
    <t>CLS</t>
  </si>
  <si>
    <t>Total blocking time</t>
  </si>
  <si>
    <t>Speed index</t>
  </si>
  <si>
    <t>7.1s</t>
  </si>
  <si>
    <t>First contentFul paint</t>
  </si>
  <si>
    <t>4.4s</t>
  </si>
  <si>
    <t>Largest contentful paint</t>
  </si>
  <si>
    <t>Time to interactive</t>
  </si>
  <si>
    <t>Cumalative layout shift</t>
  </si>
  <si>
    <t>Md ruhul kibria maruf</t>
  </si>
  <si>
    <t>Md Ruhul Kibria Maruf</t>
  </si>
  <si>
    <t>Md ruhul kibria Maruf</t>
  </si>
  <si>
    <t>Step-1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go to https://symlexvpn.com/login                                                                                                                                                                                                                                                               Step-3  Fiil out email field                                                                                                                                                                                                                              Step-4  Click on the "Forget Password" button</t>
  </si>
  <si>
    <t>Step-1 Open Browser
Step-2 go to https://symlexvpn.com/login
Step-3  Fiil out email field
Step-4  Click on the "Forget Password" button
Step-5  Input invalid email</t>
  </si>
  <si>
    <t>Step-1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go to https://symlexvpn.com/                                                                                                                                                                                                                                                                Step-3  : Login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: Enter into the home page</t>
  </si>
  <si>
    <t>Step-1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go to https://symlexvpn.com/login                                                                                                                                                                                                                                                                Step-3  : Login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: Enter into the home page</t>
  </si>
  <si>
    <t>Step-1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go to https://symlexvpn.com/login                                                                                                                                                                                                                                                                 Step-3  : Login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: Enter into the home page</t>
  </si>
  <si>
    <t xml:space="preserve"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"https://symlexvpn.com/login "                                                                                                                                                                                                                                                                 Step-3  Click on Log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 Check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</si>
  <si>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"https://symlexvpn.com/login "                                                                                                                                                                                                                                                                 Step-3  Click on Log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 Fill username field and password with empty input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 -5 click "continue" button</t>
  </si>
  <si>
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"https://symlexvpn.com/login "                                                                                                                                                                                                                                                                 Step-3  Click on Log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 Fill username field  with empty input and password with valid input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 -5 click "continue" button</t>
  </si>
  <si>
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"https://symlexvpn.com/login "                                                                                                                                                                                                                                                                 Step-3  Click on Log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 Fill username field  with valid input and password with invalid input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 -5 click "continue" button</t>
  </si>
  <si>
    <t>Step-1 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Step-2  Go to url  "https://symlexvpn.com/login "                                                                                                                                                                                                                                                                 Step-3  Click on Log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Step-4  Fill username field  with invalid input and password with valid input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 -5 click "continue"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</si>
</sst>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35">
    <font>
      <sz val="10"/>
      <color rgb="FF000000"/>
      <name val="Calibri"/>
      <scheme val="minor"/>
    </font>
    <font>
      <b/>
      <sz val="10"/>
      <color theme="1"/>
      <name val="Calibri"/>
    </font>
    <font>
      <sz val="10"/>
      <name val="Calibri"/>
    </font>
    <font>
      <u/>
      <sz val="10"/>
      <color rgb="FF0000FF"/>
      <name val="Arial"/>
    </font>
    <font>
      <sz val="10"/>
      <color theme="1"/>
      <name val="Calibri"/>
    </font>
    <font>
      <b/>
      <sz val="10"/>
      <color rgb="FF000000"/>
      <name val="Calibri"/>
    </font>
    <font>
      <sz val="10"/>
      <color rgb="FF000000"/>
      <name val="Calibri"/>
    </font>
    <font>
      <u/>
      <sz val="10"/>
      <color theme="10"/>
      <name val="Calibri"/>
    </font>
    <font>
      <u/>
      <sz val="10"/>
      <color theme="1"/>
      <name val="Arial"/>
    </font>
    <font>
      <u/>
      <sz val="10"/>
      <color theme="10"/>
      <name val="Calibri"/>
    </font>
    <font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theme="1"/>
      <name val="Arial"/>
    </font>
    <font>
      <b/>
      <sz val="10"/>
      <color rgb="FF000000"/>
      <name val="Roboto"/>
    </font>
    <font>
      <b/>
      <sz val="10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</font>
    <font>
      <sz val="10"/>
      <color theme="1"/>
      <name val="Calibri"/>
      <scheme val="minor"/>
    </font>
    <font>
      <sz val="10"/>
      <color rgb="FF052B3E"/>
      <name val="Arial"/>
    </font>
    <font>
      <sz val="10"/>
      <color rgb="FF052B3E"/>
      <name val="Proxima-light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b/>
      <sz val="10"/>
      <color theme="1"/>
      <name val="Arial"/>
    </font>
    <font>
      <u/>
      <sz val="10"/>
      <color rgb="FF0000FF"/>
      <name val="Calibri"/>
    </font>
    <font>
      <u/>
      <sz val="10"/>
      <color rgb="FF0000FF"/>
      <name val="Calibri"/>
    </font>
    <font>
      <u/>
      <sz val="10"/>
      <color rgb="FF0000FF"/>
      <name val="Docs-Calibri"/>
    </font>
    <font>
      <b/>
      <sz val="10"/>
      <color rgb="FF000000"/>
      <name val="&quot;Maven Pro&quot;"/>
    </font>
    <font>
      <sz val="10"/>
      <name val="Calibri, Arial"/>
    </font>
    <font>
      <u/>
      <sz val="10"/>
      <color rgb="FF1155CC"/>
      <name val="Calibri, Arial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numFmtId="0" fontId="0" fillId="0" borderId="0" xfId="0" applyFont="1" applyAlignment="1"/>
    <xf numFmtId="0" fontId="3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0" borderId="0" xfId="0" applyFont="1"/>
    <xf numFmtId="0" fontId="1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0" fontId="6" fillId="0" borderId="8" xfId="0" quotePrefix="1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10" borderId="0" xfId="0" applyFont="1" applyFill="1" applyAlignment="1"/>
    <xf numFmtId="0" fontId="17" fillId="0" borderId="0" xfId="0" applyFont="1" applyAlignment="1"/>
    <xf numFmtId="0" fontId="18" fillId="11" borderId="3" xfId="0" applyFont="1" applyFill="1" applyBorder="1" applyAlignment="1">
      <alignment horizontal="center"/>
    </xf>
    <xf numFmtId="0" fontId="18" fillId="11" borderId="2" xfId="0" applyFont="1" applyFill="1" applyBorder="1" applyAlignment="1">
      <alignment horizontal="center"/>
    </xf>
    <xf numFmtId="0" fontId="17" fillId="11" borderId="3" xfId="0" applyFont="1" applyFill="1" applyBorder="1" applyAlignment="1"/>
    <xf numFmtId="0" fontId="19" fillId="12" borderId="7" xfId="0" applyFont="1" applyFill="1" applyBorder="1" applyAlignment="1">
      <alignment horizontal="center"/>
    </xf>
    <xf numFmtId="0" fontId="19" fillId="12" borderId="8" xfId="0" applyFont="1" applyFill="1" applyBorder="1" applyAlignment="1">
      <alignment horizontal="center"/>
    </xf>
    <xf numFmtId="0" fontId="20" fillId="0" borderId="3" xfId="0" applyFont="1" applyBorder="1" applyAlignment="1"/>
    <xf numFmtId="0" fontId="20" fillId="0" borderId="3" xfId="0" applyFont="1" applyBorder="1" applyAlignment="1"/>
    <xf numFmtId="0" fontId="19" fillId="12" borderId="7" xfId="0" applyFont="1" applyFill="1" applyBorder="1" applyAlignment="1">
      <alignment horizontal="center"/>
    </xf>
    <xf numFmtId="0" fontId="19" fillId="12" borderId="8" xfId="0" applyFont="1" applyFill="1" applyBorder="1" applyAlignment="1">
      <alignment horizontal="center"/>
    </xf>
    <xf numFmtId="0" fontId="21" fillId="10" borderId="3" xfId="0" applyFont="1" applyFill="1" applyBorder="1" applyAlignment="1"/>
    <xf numFmtId="0" fontId="22" fillId="10" borderId="3" xfId="0" applyFont="1" applyFill="1" applyBorder="1" applyAlignment="1"/>
    <xf numFmtId="0" fontId="23" fillId="0" borderId="11" xfId="0" applyFont="1" applyBorder="1"/>
    <xf numFmtId="0" fontId="24" fillId="0" borderId="2" xfId="0" applyFont="1" applyBorder="1" applyAlignment="1">
      <alignment horizontal="center" wrapText="1"/>
    </xf>
    <xf numFmtId="164" fontId="25" fillId="13" borderId="2" xfId="0" applyNumberFormat="1" applyFont="1" applyFill="1" applyBorder="1" applyAlignment="1">
      <alignment horizontal="center" wrapText="1"/>
    </xf>
    <xf numFmtId="0" fontId="25" fillId="10" borderId="2" xfId="0" applyFont="1" applyFill="1" applyBorder="1" applyAlignment="1">
      <alignment horizontal="center"/>
    </xf>
    <xf numFmtId="164" fontId="25" fillId="0" borderId="2" xfId="0" applyNumberFormat="1" applyFont="1" applyBorder="1"/>
    <xf numFmtId="0" fontId="25" fillId="0" borderId="2" xfId="0" applyFont="1" applyBorder="1"/>
    <xf numFmtId="0" fontId="25" fillId="0" borderId="11" xfId="0" applyFont="1" applyBorder="1" applyAlignment="1"/>
    <xf numFmtId="0" fontId="25" fillId="10" borderId="8" xfId="0" applyFont="1" applyFill="1" applyBorder="1" applyAlignment="1">
      <alignment horizontal="center" wrapText="1"/>
    </xf>
    <xf numFmtId="164" fontId="25" fillId="13" borderId="8" xfId="0" applyNumberFormat="1" applyFont="1" applyFill="1" applyBorder="1" applyAlignment="1">
      <alignment horizontal="center" wrapText="1"/>
    </xf>
    <xf numFmtId="0" fontId="25" fillId="10" borderId="8" xfId="0" applyFont="1" applyFill="1" applyBorder="1" applyAlignment="1">
      <alignment horizontal="center"/>
    </xf>
    <xf numFmtId="164" fontId="25" fillId="0" borderId="8" xfId="0" applyNumberFormat="1" applyFont="1" applyBorder="1"/>
    <xf numFmtId="0" fontId="23" fillId="15" borderId="8" xfId="0" applyFont="1" applyFill="1" applyBorder="1" applyAlignment="1">
      <alignment horizontal="center" wrapText="1"/>
    </xf>
    <xf numFmtId="0" fontId="25" fillId="4" borderId="8" xfId="0" applyFont="1" applyFill="1" applyBorder="1" applyAlignment="1">
      <alignment horizontal="center" wrapText="1"/>
    </xf>
    <xf numFmtId="0" fontId="25" fillId="0" borderId="8" xfId="0" applyFont="1" applyBorder="1"/>
    <xf numFmtId="0" fontId="25" fillId="13" borderId="8" xfId="0" applyFont="1" applyFill="1" applyBorder="1" applyAlignment="1">
      <alignment horizontal="center" wrapText="1"/>
    </xf>
    <xf numFmtId="0" fontId="23" fillId="6" borderId="8" xfId="0" applyFont="1" applyFill="1" applyBorder="1" applyAlignment="1">
      <alignment horizontal="center" wrapText="1"/>
    </xf>
    <xf numFmtId="0" fontId="25" fillId="6" borderId="8" xfId="0" applyFont="1" applyFill="1" applyBorder="1" applyAlignment="1">
      <alignment horizontal="center" wrapText="1"/>
    </xf>
    <xf numFmtId="0" fontId="25" fillId="0" borderId="11" xfId="0" applyFont="1" applyBorder="1" applyAlignment="1">
      <alignment vertical="top"/>
    </xf>
    <xf numFmtId="0" fontId="23" fillId="7" borderId="8" xfId="0" applyFont="1" applyFill="1" applyBorder="1" applyAlignment="1">
      <alignment horizontal="center" wrapText="1"/>
    </xf>
    <xf numFmtId="0" fontId="25" fillId="7" borderId="8" xfId="0" applyFont="1" applyFill="1" applyBorder="1" applyAlignment="1">
      <alignment horizontal="center" wrapText="1"/>
    </xf>
    <xf numFmtId="0" fontId="23" fillId="16" borderId="8" xfId="0" applyFont="1" applyFill="1" applyBorder="1" applyAlignment="1">
      <alignment horizontal="center" wrapText="1"/>
    </xf>
    <xf numFmtId="0" fontId="25" fillId="16" borderId="8" xfId="0" applyFont="1" applyFill="1" applyBorder="1" applyAlignment="1">
      <alignment horizontal="center" wrapText="1"/>
    </xf>
    <xf numFmtId="0" fontId="23" fillId="17" borderId="8" xfId="0" applyFont="1" applyFill="1" applyBorder="1" applyAlignment="1">
      <alignment horizontal="center" wrapText="1"/>
    </xf>
    <xf numFmtId="0" fontId="23" fillId="17" borderId="8" xfId="0" applyFont="1" applyFill="1" applyBorder="1" applyAlignment="1">
      <alignment wrapText="1"/>
    </xf>
    <xf numFmtId="0" fontId="23" fillId="17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0" borderId="8" xfId="0" applyFont="1" applyBorder="1" applyAlignment="1">
      <alignment horizontal="center" wrapText="1"/>
    </xf>
    <xf numFmtId="0" fontId="25" fillId="0" borderId="8" xfId="0" applyFont="1" applyBorder="1" applyAlignment="1">
      <alignment vertical="top" wrapText="1"/>
    </xf>
    <xf numFmtId="0" fontId="23" fillId="4" borderId="8" xfId="0" applyFont="1" applyFill="1" applyBorder="1" applyAlignment="1">
      <alignment horizontal="center"/>
    </xf>
    <xf numFmtId="0" fontId="25" fillId="10" borderId="8" xfId="0" applyFont="1" applyFill="1" applyBorder="1"/>
    <xf numFmtId="0" fontId="25" fillId="0" borderId="8" xfId="0" applyFont="1" applyBorder="1" applyAlignment="1">
      <alignment wrapText="1"/>
    </xf>
    <xf numFmtId="0" fontId="23" fillId="4" borderId="8" xfId="0" applyFont="1" applyFill="1" applyBorder="1" applyAlignment="1">
      <alignment horizontal="center" wrapText="1"/>
    </xf>
    <xf numFmtId="0" fontId="25" fillId="0" borderId="8" xfId="0" applyFont="1" applyBorder="1" applyAlignment="1">
      <alignment vertical="top" wrapText="1"/>
    </xf>
    <xf numFmtId="0" fontId="25" fillId="0" borderId="8" xfId="0" applyFont="1" applyBorder="1" applyAlignment="1"/>
    <xf numFmtId="0" fontId="26" fillId="0" borderId="2" xfId="0" applyFont="1" applyBorder="1" applyAlignment="1">
      <alignment horizontal="center" wrapText="1"/>
    </xf>
    <xf numFmtId="164" fontId="23" fillId="13" borderId="2" xfId="0" applyNumberFormat="1" applyFont="1" applyFill="1" applyBorder="1" applyAlignment="1">
      <alignment horizontal="center" wrapText="1"/>
    </xf>
    <xf numFmtId="0" fontId="23" fillId="10" borderId="6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 vertical="center" wrapText="1"/>
    </xf>
    <xf numFmtId="0" fontId="20" fillId="0" borderId="3" xfId="0" applyFont="1" applyBorder="1"/>
    <xf numFmtId="0" fontId="23" fillId="10" borderId="8" xfId="0" applyFont="1" applyFill="1" applyBorder="1" applyAlignment="1">
      <alignment horizontal="center" wrapText="1"/>
    </xf>
    <xf numFmtId="164" fontId="23" fillId="13" borderId="8" xfId="0" applyNumberFormat="1" applyFont="1" applyFill="1" applyBorder="1" applyAlignment="1">
      <alignment horizontal="center" wrapText="1"/>
    </xf>
    <xf numFmtId="0" fontId="23" fillId="10" borderId="10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 vertical="center" wrapText="1"/>
    </xf>
    <xf numFmtId="0" fontId="23" fillId="13" borderId="8" xfId="0" applyFont="1" applyFill="1" applyBorder="1" applyAlignment="1">
      <alignment horizontal="center" wrapText="1"/>
    </xf>
    <xf numFmtId="0" fontId="23" fillId="10" borderId="10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23" fillId="17" borderId="3" xfId="0" applyFont="1" applyFill="1" applyBorder="1" applyAlignment="1">
      <alignment horizontal="center" wrapText="1"/>
    </xf>
    <xf numFmtId="0" fontId="1" fillId="17" borderId="3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vertical="top" wrapText="1"/>
    </xf>
    <xf numFmtId="0" fontId="28" fillId="0" borderId="8" xfId="0" applyFont="1" applyBorder="1" applyAlignment="1">
      <alignment horizontal="center" wrapText="1"/>
    </xf>
    <xf numFmtId="0" fontId="29" fillId="10" borderId="8" xfId="0" applyFont="1" applyFill="1" applyBorder="1" applyAlignment="1">
      <alignment horizontal="center" wrapText="1"/>
    </xf>
    <xf numFmtId="0" fontId="25" fillId="0" borderId="8" xfId="0" applyFont="1" applyBorder="1" applyAlignment="1">
      <alignment horizontal="center"/>
    </xf>
    <xf numFmtId="0" fontId="23" fillId="0" borderId="11" xfId="0" applyFont="1" applyBorder="1" applyAlignment="1"/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9" fontId="6" fillId="10" borderId="3" xfId="0" applyNumberFormat="1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19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7" fillId="20" borderId="3" xfId="0" applyFont="1" applyFill="1" applyBorder="1" applyAlignment="1">
      <alignment horizontal="center"/>
    </xf>
    <xf numFmtId="0" fontId="17" fillId="21" borderId="3" xfId="0" applyFont="1" applyFill="1" applyBorder="1" applyAlignment="1"/>
    <xf numFmtId="0" fontId="17" fillId="21" borderId="3" xfId="0" applyFont="1" applyFill="1" applyBorder="1" applyAlignment="1">
      <alignment horizontal="right"/>
    </xf>
    <xf numFmtId="9" fontId="17" fillId="21" borderId="3" xfId="0" applyNumberFormat="1" applyFont="1" applyFill="1" applyBorder="1" applyAlignment="1"/>
    <xf numFmtId="0" fontId="30" fillId="21" borderId="3" xfId="0" applyFont="1" applyFill="1" applyBorder="1" applyAlignment="1"/>
    <xf numFmtId="0" fontId="4" fillId="0" borderId="16" xfId="0" applyFont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vertical="center" wrapText="1"/>
    </xf>
    <xf numFmtId="0" fontId="33" fillId="10" borderId="8" xfId="0" applyFont="1" applyFill="1" applyBorder="1" applyAlignment="1">
      <alignment horizontal="center" wrapText="1"/>
    </xf>
    <xf numFmtId="0" fontId="34" fillId="0" borderId="0" xfId="0" applyFont="1" applyAlignment="1"/>
    <xf numFmtId="0" fontId="1" fillId="10" borderId="8" xfId="0" applyFont="1" applyFill="1" applyBorder="1" applyAlignment="1">
      <alignment horizontal="center" wrapText="1"/>
    </xf>
    <xf numFmtId="0" fontId="33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wrapText="1"/>
    </xf>
    <xf numFmtId="0" fontId="1" fillId="8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8" borderId="1" xfId="0" applyFont="1" applyFill="1" applyBorder="1" applyAlignment="1">
      <alignment vertical="center" wrapText="1"/>
    </xf>
    <xf numFmtId="0" fontId="2" fillId="0" borderId="6" xfId="0" applyFont="1" applyBorder="1"/>
    <xf numFmtId="12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0" fillId="0" borderId="10" xfId="0" applyFont="1" applyBorder="1"/>
    <xf numFmtId="0" fontId="2" fillId="0" borderId="10" xfId="0" applyFont="1" applyBorder="1"/>
    <xf numFmtId="0" fontId="2" fillId="0" borderId="8" xfId="0" applyFont="1" applyBorder="1"/>
    <xf numFmtId="0" fontId="25" fillId="0" borderId="11" xfId="0" applyFont="1" applyBorder="1" applyAlignment="1">
      <alignment horizontal="center"/>
    </xf>
    <xf numFmtId="0" fontId="2" fillId="0" borderId="11" xfId="0" applyFont="1" applyBorder="1"/>
    <xf numFmtId="12" fontId="23" fillId="13" borderId="6" xfId="0" applyNumberFormat="1" applyFont="1" applyFill="1" applyBorder="1" applyAlignment="1">
      <alignment horizontal="center" wrapText="1"/>
    </xf>
    <xf numFmtId="0" fontId="23" fillId="14" borderId="6" xfId="0" applyFont="1" applyFill="1" applyBorder="1" applyAlignment="1">
      <alignment horizontal="center" wrapText="1"/>
    </xf>
    <xf numFmtId="0" fontId="23" fillId="13" borderId="10" xfId="0" applyFont="1" applyFill="1" applyBorder="1" applyAlignment="1">
      <alignment horizontal="center" wrapText="1"/>
    </xf>
    <xf numFmtId="0" fontId="17" fillId="0" borderId="10" xfId="0" applyFont="1" applyBorder="1" applyAlignment="1">
      <alignment horizontal="center"/>
    </xf>
  </cellXfs>
  <cellStyles count="1">
    <cellStyle name="Normal" xfId="0" builtinId="0"/>
  </cellStyles>
  <dxfs count="80"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selr5006@gmail.com" TargetMode="External"/><Relationship Id="rId2" Type="http://schemas.openxmlformats.org/officeDocument/2006/relationships/hyperlink" Target="mailto:amitestcase@bodl.com" TargetMode="External"/><Relationship Id="rId1" Type="http://schemas.openxmlformats.org/officeDocument/2006/relationships/hyperlink" Target="https://stage.onethread.app/demo-account-1/hom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ge.onethread.app/demo-account-1/hom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symlexvpn.com/" TargetMode="External"/><Relationship Id="rId21" Type="http://schemas.openxmlformats.org/officeDocument/2006/relationships/hyperlink" Target="https://symlexvpn.com/" TargetMode="External"/><Relationship Id="rId42" Type="http://schemas.openxmlformats.org/officeDocument/2006/relationships/hyperlink" Target="https://symlexvpn.com/" TargetMode="External"/><Relationship Id="rId47" Type="http://schemas.openxmlformats.org/officeDocument/2006/relationships/hyperlink" Target="https://symlexvpn.com/" TargetMode="External"/><Relationship Id="rId63" Type="http://schemas.openxmlformats.org/officeDocument/2006/relationships/hyperlink" Target="https://symlexvpn.com/" TargetMode="External"/><Relationship Id="rId68" Type="http://schemas.openxmlformats.org/officeDocument/2006/relationships/hyperlink" Target="https://symlexvpn.com/" TargetMode="External"/><Relationship Id="rId84" Type="http://schemas.openxmlformats.org/officeDocument/2006/relationships/hyperlink" Target="https://symlexvpn.com/" TargetMode="External"/><Relationship Id="rId16" Type="http://schemas.openxmlformats.org/officeDocument/2006/relationships/hyperlink" Target="https://symlexvpn.com/" TargetMode="External"/><Relationship Id="rId11" Type="http://schemas.openxmlformats.org/officeDocument/2006/relationships/hyperlink" Target="https://symlexvpn.com/" TargetMode="External"/><Relationship Id="rId32" Type="http://schemas.openxmlformats.org/officeDocument/2006/relationships/hyperlink" Target="https://symlexvpn.com/" TargetMode="External"/><Relationship Id="rId37" Type="http://schemas.openxmlformats.org/officeDocument/2006/relationships/hyperlink" Target="https://symlexvpn.com/" TargetMode="External"/><Relationship Id="rId53" Type="http://schemas.openxmlformats.org/officeDocument/2006/relationships/hyperlink" Target="https://symlexvpn.com/" TargetMode="External"/><Relationship Id="rId58" Type="http://schemas.openxmlformats.org/officeDocument/2006/relationships/hyperlink" Target="https://symlexvpn.com/" TargetMode="External"/><Relationship Id="rId74" Type="http://schemas.openxmlformats.org/officeDocument/2006/relationships/hyperlink" Target="https://symlexvpn.com/" TargetMode="External"/><Relationship Id="rId79" Type="http://schemas.openxmlformats.org/officeDocument/2006/relationships/hyperlink" Target="https://symlexvpn.com/" TargetMode="External"/><Relationship Id="rId5" Type="http://schemas.openxmlformats.org/officeDocument/2006/relationships/hyperlink" Target="https://symlexvpn.com/" TargetMode="External"/><Relationship Id="rId19" Type="http://schemas.openxmlformats.org/officeDocument/2006/relationships/hyperlink" Target="https://symlexvpn.com/" TargetMode="External"/><Relationship Id="rId14" Type="http://schemas.openxmlformats.org/officeDocument/2006/relationships/hyperlink" Target="https://symlexvpn.com/" TargetMode="External"/><Relationship Id="rId22" Type="http://schemas.openxmlformats.org/officeDocument/2006/relationships/hyperlink" Target="https://symlexvpn.com/" TargetMode="External"/><Relationship Id="rId27" Type="http://schemas.openxmlformats.org/officeDocument/2006/relationships/hyperlink" Target="https://symlexvpn.com/" TargetMode="External"/><Relationship Id="rId30" Type="http://schemas.openxmlformats.org/officeDocument/2006/relationships/hyperlink" Target="https://symlexvpn.com/" TargetMode="External"/><Relationship Id="rId35" Type="http://schemas.openxmlformats.org/officeDocument/2006/relationships/hyperlink" Target="https://symlexvpn.com/" TargetMode="External"/><Relationship Id="rId43" Type="http://schemas.openxmlformats.org/officeDocument/2006/relationships/hyperlink" Target="https://symlexvpn.com/" TargetMode="External"/><Relationship Id="rId48" Type="http://schemas.openxmlformats.org/officeDocument/2006/relationships/hyperlink" Target="https://symlexvpn.com/" TargetMode="External"/><Relationship Id="rId56" Type="http://schemas.openxmlformats.org/officeDocument/2006/relationships/hyperlink" Target="https://symlexvpn.com/" TargetMode="External"/><Relationship Id="rId64" Type="http://schemas.openxmlformats.org/officeDocument/2006/relationships/hyperlink" Target="https://symlexvpn.com/" TargetMode="External"/><Relationship Id="rId69" Type="http://schemas.openxmlformats.org/officeDocument/2006/relationships/hyperlink" Target="https://symlexvpn.com/" TargetMode="External"/><Relationship Id="rId77" Type="http://schemas.openxmlformats.org/officeDocument/2006/relationships/hyperlink" Target="https://symlexvpn.com/" TargetMode="External"/><Relationship Id="rId8" Type="http://schemas.openxmlformats.org/officeDocument/2006/relationships/hyperlink" Target="https://symlexvpn.com/" TargetMode="External"/><Relationship Id="rId51" Type="http://schemas.openxmlformats.org/officeDocument/2006/relationships/hyperlink" Target="https://symlexvpn.com/" TargetMode="External"/><Relationship Id="rId72" Type="http://schemas.openxmlformats.org/officeDocument/2006/relationships/hyperlink" Target="https://symlexvpn.com/" TargetMode="External"/><Relationship Id="rId80" Type="http://schemas.openxmlformats.org/officeDocument/2006/relationships/hyperlink" Target="https://symlexvpn.com/" TargetMode="External"/><Relationship Id="rId85" Type="http://schemas.openxmlformats.org/officeDocument/2006/relationships/hyperlink" Target="https://symlexvpn.com/" TargetMode="External"/><Relationship Id="rId3" Type="http://schemas.openxmlformats.org/officeDocument/2006/relationships/hyperlink" Target="https://symlexvpn.com/" TargetMode="External"/><Relationship Id="rId12" Type="http://schemas.openxmlformats.org/officeDocument/2006/relationships/hyperlink" Target="https://symlexvpn.com/" TargetMode="External"/><Relationship Id="rId17" Type="http://schemas.openxmlformats.org/officeDocument/2006/relationships/hyperlink" Target="https://symlexvpn.com/" TargetMode="External"/><Relationship Id="rId25" Type="http://schemas.openxmlformats.org/officeDocument/2006/relationships/hyperlink" Target="https://symlexvpn.com/" TargetMode="External"/><Relationship Id="rId33" Type="http://schemas.openxmlformats.org/officeDocument/2006/relationships/hyperlink" Target="https://symlexvpn.com/" TargetMode="External"/><Relationship Id="rId38" Type="http://schemas.openxmlformats.org/officeDocument/2006/relationships/hyperlink" Target="https://symlexvpn.com/" TargetMode="External"/><Relationship Id="rId46" Type="http://schemas.openxmlformats.org/officeDocument/2006/relationships/hyperlink" Target="https://symlexvpn.com/" TargetMode="External"/><Relationship Id="rId59" Type="http://schemas.openxmlformats.org/officeDocument/2006/relationships/hyperlink" Target="https://symlexvpn.com/" TargetMode="External"/><Relationship Id="rId67" Type="http://schemas.openxmlformats.org/officeDocument/2006/relationships/hyperlink" Target="https://symlexvpn.com/" TargetMode="External"/><Relationship Id="rId20" Type="http://schemas.openxmlformats.org/officeDocument/2006/relationships/hyperlink" Target="https://symlexvpn.com/" TargetMode="External"/><Relationship Id="rId41" Type="http://schemas.openxmlformats.org/officeDocument/2006/relationships/hyperlink" Target="https://symlexvpn.com/" TargetMode="External"/><Relationship Id="rId54" Type="http://schemas.openxmlformats.org/officeDocument/2006/relationships/hyperlink" Target="https://symlexvpn.com/" TargetMode="External"/><Relationship Id="rId62" Type="http://schemas.openxmlformats.org/officeDocument/2006/relationships/hyperlink" Target="https://symlexvpn.com/" TargetMode="External"/><Relationship Id="rId70" Type="http://schemas.openxmlformats.org/officeDocument/2006/relationships/hyperlink" Target="https://symlexvpn.com/" TargetMode="External"/><Relationship Id="rId75" Type="http://schemas.openxmlformats.org/officeDocument/2006/relationships/hyperlink" Target="https://symlexvpn.com/" TargetMode="External"/><Relationship Id="rId83" Type="http://schemas.openxmlformats.org/officeDocument/2006/relationships/hyperlink" Target="https://symlexvpn.com/" TargetMode="External"/><Relationship Id="rId1" Type="http://schemas.openxmlformats.org/officeDocument/2006/relationships/hyperlink" Target="https://symlexvpn.com/" TargetMode="External"/><Relationship Id="rId6" Type="http://schemas.openxmlformats.org/officeDocument/2006/relationships/hyperlink" Target="https://symlexvpn.com/" TargetMode="External"/><Relationship Id="rId15" Type="http://schemas.openxmlformats.org/officeDocument/2006/relationships/hyperlink" Target="https://symlexvpn.com/" TargetMode="External"/><Relationship Id="rId23" Type="http://schemas.openxmlformats.org/officeDocument/2006/relationships/hyperlink" Target="https://symlexvpn.com/" TargetMode="External"/><Relationship Id="rId28" Type="http://schemas.openxmlformats.org/officeDocument/2006/relationships/hyperlink" Target="https://symlexvpn.com/" TargetMode="External"/><Relationship Id="rId36" Type="http://schemas.openxmlformats.org/officeDocument/2006/relationships/hyperlink" Target="https://symlexvpn.com/" TargetMode="External"/><Relationship Id="rId49" Type="http://schemas.openxmlformats.org/officeDocument/2006/relationships/hyperlink" Target="https://symlexvpn.com/" TargetMode="External"/><Relationship Id="rId57" Type="http://schemas.openxmlformats.org/officeDocument/2006/relationships/hyperlink" Target="https://symlexvpn.com/" TargetMode="External"/><Relationship Id="rId10" Type="http://schemas.openxmlformats.org/officeDocument/2006/relationships/hyperlink" Target="https://symlexvpn.com/" TargetMode="External"/><Relationship Id="rId31" Type="http://schemas.openxmlformats.org/officeDocument/2006/relationships/hyperlink" Target="https://symlexvpn.com/" TargetMode="External"/><Relationship Id="rId44" Type="http://schemas.openxmlformats.org/officeDocument/2006/relationships/hyperlink" Target="https://symlexvpn.com/" TargetMode="External"/><Relationship Id="rId52" Type="http://schemas.openxmlformats.org/officeDocument/2006/relationships/hyperlink" Target="https://symlexvpn.com/" TargetMode="External"/><Relationship Id="rId60" Type="http://schemas.openxmlformats.org/officeDocument/2006/relationships/hyperlink" Target="https://symlexvpn.com/" TargetMode="External"/><Relationship Id="rId65" Type="http://schemas.openxmlformats.org/officeDocument/2006/relationships/hyperlink" Target="https://symlexvpn.com/" TargetMode="External"/><Relationship Id="rId73" Type="http://schemas.openxmlformats.org/officeDocument/2006/relationships/hyperlink" Target="https://symlexvpn.com/" TargetMode="External"/><Relationship Id="rId78" Type="http://schemas.openxmlformats.org/officeDocument/2006/relationships/hyperlink" Target="https://symlexvpn.com/" TargetMode="External"/><Relationship Id="rId81" Type="http://schemas.openxmlformats.org/officeDocument/2006/relationships/hyperlink" Target="https://symlexvpn.com/" TargetMode="External"/><Relationship Id="rId4" Type="http://schemas.openxmlformats.org/officeDocument/2006/relationships/hyperlink" Target="https://symlexvpn.com/" TargetMode="External"/><Relationship Id="rId9" Type="http://schemas.openxmlformats.org/officeDocument/2006/relationships/hyperlink" Target="https://symlexvpn.com/" TargetMode="External"/><Relationship Id="rId13" Type="http://schemas.openxmlformats.org/officeDocument/2006/relationships/hyperlink" Target="https://symlexvpn.com/" TargetMode="External"/><Relationship Id="rId18" Type="http://schemas.openxmlformats.org/officeDocument/2006/relationships/hyperlink" Target="https://symlexvpn.com/" TargetMode="External"/><Relationship Id="rId39" Type="http://schemas.openxmlformats.org/officeDocument/2006/relationships/hyperlink" Target="https://symlexvpn.com/" TargetMode="External"/><Relationship Id="rId34" Type="http://schemas.openxmlformats.org/officeDocument/2006/relationships/hyperlink" Target="https://symlexvpn.com/" TargetMode="External"/><Relationship Id="rId50" Type="http://schemas.openxmlformats.org/officeDocument/2006/relationships/hyperlink" Target="https://symlexvpn.com/" TargetMode="External"/><Relationship Id="rId55" Type="http://schemas.openxmlformats.org/officeDocument/2006/relationships/hyperlink" Target="https://symlexvpn.com/" TargetMode="External"/><Relationship Id="rId76" Type="http://schemas.openxmlformats.org/officeDocument/2006/relationships/hyperlink" Target="https://symlexvpn.com/" TargetMode="External"/><Relationship Id="rId7" Type="http://schemas.openxmlformats.org/officeDocument/2006/relationships/hyperlink" Target="https://symlexvpn.com/" TargetMode="External"/><Relationship Id="rId71" Type="http://schemas.openxmlformats.org/officeDocument/2006/relationships/hyperlink" Target="https://symlexvpn.com/" TargetMode="External"/><Relationship Id="rId2" Type="http://schemas.openxmlformats.org/officeDocument/2006/relationships/hyperlink" Target="https://symlexvpn.com/" TargetMode="External"/><Relationship Id="rId29" Type="http://schemas.openxmlformats.org/officeDocument/2006/relationships/hyperlink" Target="https://symlexvpn.com/" TargetMode="External"/><Relationship Id="rId24" Type="http://schemas.openxmlformats.org/officeDocument/2006/relationships/hyperlink" Target="https://symlexvpn.com/" TargetMode="External"/><Relationship Id="rId40" Type="http://schemas.openxmlformats.org/officeDocument/2006/relationships/hyperlink" Target="https://symlexvpn.com/" TargetMode="External"/><Relationship Id="rId45" Type="http://schemas.openxmlformats.org/officeDocument/2006/relationships/hyperlink" Target="https://symlexvpn.com/" TargetMode="External"/><Relationship Id="rId66" Type="http://schemas.openxmlformats.org/officeDocument/2006/relationships/hyperlink" Target="https://symlexvpn.com/" TargetMode="External"/><Relationship Id="rId61" Type="http://schemas.openxmlformats.org/officeDocument/2006/relationships/hyperlink" Target="https://symlexvpn.com/" TargetMode="External"/><Relationship Id="rId82" Type="http://schemas.openxmlformats.org/officeDocument/2006/relationships/hyperlink" Target="https://symlexvp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L1000"/>
  <sheetViews>
    <sheetView showGridLines="0" workbookViewId="0">
      <pane ySplit="6" topLeftCell="A18" activePane="bottomLeft" state="frozen"/>
      <selection pane="bottomLeft" activeCell="F19" sqref="F19"/>
    </sheetView>
  </sheetViews>
  <sheetFormatPr defaultColWidth="14.3984375" defaultRowHeight="15" customHeight="1"/>
  <cols>
    <col min="1" max="1" width="16.296875" customWidth="1"/>
    <col min="2" max="2" width="21" customWidth="1"/>
    <col min="3" max="3" width="23.8984375" customWidth="1"/>
    <col min="4" max="4" width="12.09765625" customWidth="1"/>
    <col min="5" max="5" width="32.59765625" customWidth="1"/>
    <col min="6" max="6" width="39.3984375" customWidth="1"/>
    <col min="7" max="7" width="32" customWidth="1"/>
    <col min="8" max="8" width="30.296875" customWidth="1"/>
    <col min="9" max="9" width="13.69921875" customWidth="1"/>
    <col min="10" max="10" width="25" customWidth="1"/>
    <col min="11" max="11" width="17.296875" customWidth="1"/>
    <col min="12" max="12" width="14.296875" customWidth="1"/>
    <col min="13" max="26" width="12.69921875" customWidth="1"/>
  </cols>
  <sheetData>
    <row r="1" spans="1:12" ht="18" customHeight="1">
      <c r="B1" s="162" t="s">
        <v>0</v>
      </c>
      <c r="C1" s="159"/>
      <c r="D1" s="1" t="s">
        <v>1</v>
      </c>
      <c r="E1" s="2" t="s">
        <v>2</v>
      </c>
      <c r="F1" s="3" t="s">
        <v>157</v>
      </c>
      <c r="G1" s="4" t="s">
        <v>3</v>
      </c>
      <c r="H1" s="55" t="s">
        <v>157</v>
      </c>
      <c r="I1" s="163" t="s">
        <v>4</v>
      </c>
      <c r="J1" s="159"/>
      <c r="K1" s="5"/>
      <c r="L1" s="5"/>
    </row>
    <row r="2" spans="1:12" ht="13">
      <c r="B2" s="164" t="s">
        <v>5</v>
      </c>
      <c r="C2" s="159"/>
      <c r="D2" s="6" t="s">
        <v>6</v>
      </c>
      <c r="E2" s="2" t="s">
        <v>7</v>
      </c>
      <c r="F2" s="55" t="s">
        <v>157</v>
      </c>
      <c r="G2" s="7" t="s">
        <v>8</v>
      </c>
      <c r="H2" s="55" t="s">
        <v>157</v>
      </c>
      <c r="I2" s="2" t="s">
        <v>9</v>
      </c>
      <c r="J2" s="8">
        <f>COUNTIF(I7:I18, "PASS")</f>
        <v>10</v>
      </c>
      <c r="K2" s="5"/>
      <c r="L2" s="5"/>
    </row>
    <row r="3" spans="1:12" ht="18" customHeight="1">
      <c r="A3" s="9"/>
      <c r="B3" s="164" t="s">
        <v>10</v>
      </c>
      <c r="C3" s="159"/>
      <c r="D3" s="6"/>
      <c r="E3" s="10" t="s">
        <v>11</v>
      </c>
      <c r="F3" s="11" t="s">
        <v>320</v>
      </c>
      <c r="G3" s="12" t="s">
        <v>12</v>
      </c>
      <c r="H3" s="6" t="s">
        <v>13</v>
      </c>
      <c r="I3" s="13" t="s">
        <v>14</v>
      </c>
      <c r="J3" s="14">
        <f>COUNTIF(I7:I16, "Fail")</f>
        <v>2</v>
      </c>
      <c r="K3" s="5"/>
      <c r="L3" s="5"/>
    </row>
    <row r="4" spans="1:12" ht="18" customHeight="1">
      <c r="A4" s="15"/>
      <c r="B4" s="164" t="s">
        <v>15</v>
      </c>
      <c r="C4" s="159"/>
      <c r="D4" s="6"/>
      <c r="E4" s="10" t="s">
        <v>16</v>
      </c>
      <c r="F4" s="56" t="s">
        <v>320</v>
      </c>
      <c r="G4" s="12" t="s">
        <v>17</v>
      </c>
      <c r="H4" s="16" t="s">
        <v>13</v>
      </c>
      <c r="I4" s="2" t="s">
        <v>18</v>
      </c>
      <c r="J4" s="17">
        <f>COUNTIF(I7:I16, "WARNING")</f>
        <v>0</v>
      </c>
      <c r="K4" s="5"/>
      <c r="L4" s="5"/>
    </row>
    <row r="5" spans="1:12" ht="18" customHeight="1">
      <c r="B5" s="158" t="s">
        <v>19</v>
      </c>
      <c r="C5" s="159"/>
      <c r="D5" s="160" t="s">
        <v>321</v>
      </c>
      <c r="E5" s="161"/>
      <c r="F5" s="161"/>
      <c r="G5" s="161"/>
      <c r="H5" s="159"/>
      <c r="I5" s="18" t="s">
        <v>20</v>
      </c>
      <c r="J5" s="19">
        <f>SUM(J2:J3:J4)</f>
        <v>12</v>
      </c>
      <c r="K5" s="5"/>
      <c r="L5" s="5"/>
    </row>
    <row r="6" spans="1:12" ht="18.75" customHeight="1">
      <c r="A6" s="9"/>
      <c r="B6" s="20" t="s">
        <v>21</v>
      </c>
      <c r="C6" s="21" t="s">
        <v>22</v>
      </c>
      <c r="D6" s="22"/>
      <c r="E6" s="22" t="s">
        <v>23</v>
      </c>
      <c r="F6" s="22" t="s">
        <v>24</v>
      </c>
      <c r="G6" s="22" t="s">
        <v>25</v>
      </c>
      <c r="H6" s="22" t="s">
        <v>26</v>
      </c>
      <c r="I6" s="22" t="s">
        <v>27</v>
      </c>
      <c r="J6" s="21" t="s">
        <v>28</v>
      </c>
      <c r="K6" s="23"/>
      <c r="L6" s="5"/>
    </row>
    <row r="7" spans="1:12" ht="77.25" customHeight="1">
      <c r="A7" s="24"/>
      <c r="B7" s="25" t="s">
        <v>29</v>
      </c>
      <c r="C7" s="26" t="s">
        <v>30</v>
      </c>
      <c r="D7" s="27"/>
      <c r="E7" s="28" t="s">
        <v>31</v>
      </c>
      <c r="F7" s="29" t="s">
        <v>32</v>
      </c>
      <c r="G7" s="26" t="s">
        <v>33</v>
      </c>
      <c r="H7" s="30" t="s">
        <v>34</v>
      </c>
      <c r="I7" s="31" t="s">
        <v>14</v>
      </c>
      <c r="J7" s="32"/>
      <c r="K7" s="32"/>
      <c r="L7" s="5"/>
    </row>
    <row r="8" spans="1:12" ht="91">
      <c r="A8" s="24"/>
      <c r="B8" s="25" t="s">
        <v>35</v>
      </c>
      <c r="C8" s="27" t="s">
        <v>36</v>
      </c>
      <c r="D8" s="26"/>
      <c r="E8" s="33" t="s">
        <v>37</v>
      </c>
      <c r="F8" s="34" t="s">
        <v>38</v>
      </c>
      <c r="G8" s="26" t="s">
        <v>39</v>
      </c>
      <c r="H8" s="30" t="s">
        <v>40</v>
      </c>
      <c r="I8" s="8" t="s">
        <v>9</v>
      </c>
      <c r="J8" s="32"/>
      <c r="K8" s="35"/>
      <c r="L8" s="5"/>
    </row>
    <row r="9" spans="1:12" ht="84" customHeight="1">
      <c r="B9" s="25" t="s">
        <v>41</v>
      </c>
      <c r="C9" s="26" t="s">
        <v>42</v>
      </c>
      <c r="D9" s="36"/>
      <c r="E9" s="37" t="s">
        <v>43</v>
      </c>
      <c r="F9" s="38" t="s">
        <v>44</v>
      </c>
      <c r="G9" s="26" t="s">
        <v>45</v>
      </c>
      <c r="H9" s="26" t="s">
        <v>46</v>
      </c>
      <c r="I9" s="39" t="s">
        <v>14</v>
      </c>
      <c r="J9" s="32"/>
      <c r="K9" s="35"/>
      <c r="L9" s="5"/>
    </row>
    <row r="10" spans="1:12" ht="105.75" customHeight="1">
      <c r="B10" s="40" t="s">
        <v>47</v>
      </c>
      <c r="C10" s="26" t="s">
        <v>48</v>
      </c>
      <c r="D10" s="26"/>
      <c r="E10" s="26" t="s">
        <v>49</v>
      </c>
      <c r="F10" s="38" t="s">
        <v>50</v>
      </c>
      <c r="G10" s="26" t="s">
        <v>51</v>
      </c>
      <c r="H10" s="26" t="s">
        <v>52</v>
      </c>
      <c r="I10" s="8" t="s">
        <v>9</v>
      </c>
      <c r="J10" s="32"/>
      <c r="K10" s="35"/>
      <c r="L10" s="5"/>
    </row>
    <row r="11" spans="1:12" ht="106.5" customHeight="1">
      <c r="B11" s="40" t="s">
        <v>53</v>
      </c>
      <c r="C11" s="26" t="s">
        <v>54</v>
      </c>
      <c r="D11" s="38"/>
      <c r="E11" s="26" t="s">
        <v>55</v>
      </c>
      <c r="F11" s="38" t="s">
        <v>56</v>
      </c>
      <c r="G11" s="26" t="s">
        <v>57</v>
      </c>
      <c r="H11" s="26" t="s">
        <v>58</v>
      </c>
      <c r="I11" s="8" t="s">
        <v>9</v>
      </c>
      <c r="J11" s="32"/>
      <c r="K11" s="35"/>
      <c r="L11" s="5"/>
    </row>
    <row r="12" spans="1:12" ht="65">
      <c r="B12" s="40" t="s">
        <v>59</v>
      </c>
      <c r="C12" s="26" t="s">
        <v>60</v>
      </c>
      <c r="D12" s="41"/>
      <c r="E12" s="26" t="s">
        <v>61</v>
      </c>
      <c r="F12" s="41" t="s">
        <v>62</v>
      </c>
      <c r="G12" s="26" t="s">
        <v>63</v>
      </c>
      <c r="H12" s="30" t="s">
        <v>64</v>
      </c>
      <c r="I12" s="8" t="s">
        <v>9</v>
      </c>
      <c r="J12" s="32"/>
      <c r="K12" s="35"/>
      <c r="L12" s="5"/>
    </row>
    <row r="13" spans="1:12" ht="75" customHeight="1">
      <c r="B13" s="40" t="s">
        <v>65</v>
      </c>
      <c r="C13" s="26" t="s">
        <v>66</v>
      </c>
      <c r="D13" s="41"/>
      <c r="E13" s="26" t="s">
        <v>67</v>
      </c>
      <c r="F13" s="41" t="s">
        <v>68</v>
      </c>
      <c r="G13" s="26" t="s">
        <v>69</v>
      </c>
      <c r="H13" s="30" t="s">
        <v>70</v>
      </c>
      <c r="I13" s="31" t="s">
        <v>9</v>
      </c>
      <c r="J13" s="32"/>
      <c r="K13" s="35"/>
      <c r="L13" s="5"/>
    </row>
    <row r="14" spans="1:12" ht="78">
      <c r="B14" s="25" t="s">
        <v>71</v>
      </c>
      <c r="C14" s="26" t="s">
        <v>72</v>
      </c>
      <c r="D14" s="41"/>
      <c r="E14" s="42" t="s">
        <v>73</v>
      </c>
      <c r="F14" s="43" t="s">
        <v>74</v>
      </c>
      <c r="G14" s="26" t="s">
        <v>75</v>
      </c>
      <c r="H14" s="30" t="s">
        <v>76</v>
      </c>
      <c r="I14" s="8" t="s">
        <v>9</v>
      </c>
      <c r="J14" s="32"/>
      <c r="K14" s="35"/>
      <c r="L14" s="5"/>
    </row>
    <row r="15" spans="1:12" ht="61.5" customHeight="1">
      <c r="B15" s="37" t="s">
        <v>77</v>
      </c>
      <c r="C15" s="30" t="s">
        <v>78</v>
      </c>
      <c r="D15" s="43"/>
      <c r="E15" s="30" t="s">
        <v>79</v>
      </c>
      <c r="F15" s="41" t="s">
        <v>80</v>
      </c>
      <c r="G15" s="30" t="s">
        <v>81</v>
      </c>
      <c r="H15" s="30" t="s">
        <v>82</v>
      </c>
      <c r="I15" s="31" t="s">
        <v>9</v>
      </c>
      <c r="J15" s="44"/>
      <c r="K15" s="44"/>
      <c r="L15" s="5"/>
    </row>
    <row r="16" spans="1:12" ht="62.25" customHeight="1">
      <c r="B16" s="25" t="s">
        <v>83</v>
      </c>
      <c r="C16" s="30" t="s">
        <v>84</v>
      </c>
      <c r="D16" s="41"/>
      <c r="E16" s="26" t="s">
        <v>85</v>
      </c>
      <c r="F16" s="41" t="s">
        <v>86</v>
      </c>
      <c r="G16" s="30" t="s">
        <v>87</v>
      </c>
      <c r="H16" s="30" t="s">
        <v>88</v>
      </c>
      <c r="I16" s="8" t="s">
        <v>9</v>
      </c>
      <c r="J16" s="44"/>
      <c r="K16" s="44"/>
      <c r="L16" s="5"/>
    </row>
    <row r="17" spans="2:12" ht="62.25" customHeight="1">
      <c r="B17" s="30" t="s">
        <v>89</v>
      </c>
      <c r="C17" s="30" t="s">
        <v>90</v>
      </c>
      <c r="D17" s="41"/>
      <c r="E17" s="26" t="s">
        <v>67</v>
      </c>
      <c r="F17" s="41" t="s">
        <v>91</v>
      </c>
      <c r="G17" s="30" t="s">
        <v>92</v>
      </c>
      <c r="H17" s="30" t="s">
        <v>93</v>
      </c>
      <c r="I17" s="39" t="s">
        <v>9</v>
      </c>
      <c r="J17" s="44"/>
      <c r="K17" s="44"/>
      <c r="L17" s="5"/>
    </row>
    <row r="18" spans="2:12" ht="56.25" customHeight="1">
      <c r="B18" s="45" t="s">
        <v>94</v>
      </c>
      <c r="C18" s="46" t="s">
        <v>95</v>
      </c>
      <c r="D18" s="47"/>
      <c r="E18" s="48" t="s">
        <v>96</v>
      </c>
      <c r="F18" s="47" t="s">
        <v>323</v>
      </c>
      <c r="G18" s="46" t="s">
        <v>97</v>
      </c>
      <c r="H18" s="30" t="s">
        <v>70</v>
      </c>
      <c r="I18" s="39" t="s">
        <v>9</v>
      </c>
      <c r="J18" s="49"/>
      <c r="K18" s="49"/>
      <c r="L18" s="5"/>
    </row>
    <row r="19" spans="2:12" ht="78">
      <c r="B19" s="50" t="s">
        <v>98</v>
      </c>
      <c r="C19" s="43" t="s">
        <v>99</v>
      </c>
      <c r="D19" s="51"/>
      <c r="E19" s="37" t="s">
        <v>100</v>
      </c>
      <c r="F19" s="43" t="s">
        <v>324</v>
      </c>
      <c r="G19" s="30" t="s">
        <v>101</v>
      </c>
      <c r="H19" s="52" t="s">
        <v>102</v>
      </c>
      <c r="I19" s="53" t="s">
        <v>9</v>
      </c>
      <c r="J19" s="51"/>
      <c r="K19" s="51"/>
      <c r="L19" s="5"/>
    </row>
    <row r="20" spans="2:12" ht="1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2:12" ht="15.7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2:12" ht="15.7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2:12" ht="15.75" customHeight="1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2:12" ht="15.75" customHeight="1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2:12" ht="15.75" customHeight="1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2:12" ht="15.75" customHeight="1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2:12" ht="15.75" customHeight="1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2:12" ht="15.75" customHeight="1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2:12" ht="15.75" customHeight="1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2:12" ht="15.75" customHeight="1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2:12" ht="15.75" customHeight="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2:12" ht="15.75" customHeight="1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2:12" ht="15.75" customHeight="1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2:12" ht="15.75" customHeight="1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2:12" ht="15.75" customHeight="1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2:12" ht="15.75" customHeight="1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2:12" ht="15.75" customHeight="1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2:12" ht="30.75" customHeight="1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2:12" ht="15.75" customHeight="1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2:12" ht="15.75" customHeight="1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2:12" ht="30.75" customHeight="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2:12" ht="15.75" customHeight="1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2:12" ht="15.75" customHeight="1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2:12" ht="31.5" customHeight="1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2:12" ht="15.75" customHeight="1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2:12" ht="15.75" customHeight="1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2:12" ht="37.5" customHeight="1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2:12" ht="15.75" customHeight="1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2:12" ht="15.75" customHeight="1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2:12" ht="38.25" customHeight="1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2:12" ht="30.75" customHeight="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2:12" ht="15.75" customHeigh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2:12" ht="15.75" customHeight="1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2:12" ht="15.75" customHeight="1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2:12" ht="15.75" customHeight="1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2:12" ht="15.75" customHeight="1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2:12" ht="15.75" customHeight="1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2:12" ht="15.75" customHeight="1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2:12" ht="15.75" customHeight="1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2:12" ht="15.75" customHeight="1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2:12" ht="15.75" customHeight="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2:12" ht="15.75" customHeight="1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2:12" ht="15.75" customHeight="1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2:12" ht="15.75" customHeight="1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2:12" ht="15.75" customHeight="1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2:12" ht="15.75" customHeight="1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2:12" ht="15.75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2:12" ht="15.75" customHeigh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2:12" ht="15.75" customHeight="1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2:12" ht="15.75" customHeight="1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2:12" ht="15.75" customHeight="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2:12" ht="15.75" customHeight="1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2:12" ht="15.75" customHeight="1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2:12" ht="15.75" customHeight="1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2:12" ht="15.75" customHeight="1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2:12" ht="15.75" customHeight="1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2:12" ht="15.75" customHeight="1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2:12" ht="15.75" customHeight="1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2:12" ht="15.75" customHeight="1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2:12" ht="15.75" customHeight="1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2:12" ht="15.75" customHeight="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2:12" ht="15.75" customHeight="1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2:12" ht="15.75" customHeight="1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2:12" ht="15.75" customHeight="1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2:12" ht="15.75" customHeight="1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2:12" ht="15.75" customHeigh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2:12" ht="15.75" customHeight="1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2:12" ht="15.75" customHeight="1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2:12" ht="15.75" customHeight="1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2:12" ht="15.75" customHeight="1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2:12" ht="15.75" customHeight="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2:12" ht="15.75" customHeight="1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2:12" ht="15.75" customHeight="1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2:12" ht="15.75" customHeight="1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2:12" ht="15.75" customHeight="1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2:12" ht="15.75" customHeight="1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2:12" ht="15.75" customHeight="1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2:12" ht="15.75" customHeight="1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2:12" ht="15.75" customHeight="1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2:12" ht="15.75" customHeight="1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2:12" ht="15.75" customHeight="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2:12" ht="15.75" customHeight="1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2:12" ht="15.75" customHeight="1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2:12" ht="15.75" customHeight="1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2:12" ht="15.75" customHeight="1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2:12" ht="15.75" customHeight="1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2:12" ht="15.75" customHeight="1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2:12" ht="15.75" customHeight="1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2:12" ht="15.75" customHeight="1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2:12" ht="15.75" customHeight="1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2:12" ht="15.75" customHeight="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2:12" ht="15.75" customHeight="1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2:12" ht="15.75" customHeight="1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2:12" ht="15.75" customHeight="1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2:12" ht="15.75" customHeight="1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2:12" ht="15.75" customHeight="1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2:12" ht="15.75" customHeight="1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2:12" ht="15.75" customHeight="1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2:12" ht="15.75" customHeight="1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2:12" ht="15.75" customHeight="1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2:12" ht="15.75" customHeight="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2:12" ht="15.75" customHeight="1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2:12" ht="15.75" customHeight="1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2:12" ht="15.75" customHeight="1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2:12" ht="15.75" customHeight="1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2:12" ht="15.75" customHeight="1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2:12" ht="15.75" customHeight="1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2:12" ht="15.75" customHeight="1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2:12" ht="15.75" customHeight="1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2:12" ht="15.75" customHeight="1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2:12" ht="15.75" customHeight="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2:12" ht="15.75" customHeight="1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2:12" ht="15.75" customHeight="1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2:12" ht="15.75" customHeight="1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2:12" ht="15.75" customHeight="1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2:12" ht="15.75" customHeight="1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2:12" ht="15.75" customHeight="1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2:12" ht="15.75" customHeight="1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2:12" ht="15.75" customHeight="1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2:12" ht="15.75" customHeight="1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2:12" ht="15.75" customHeight="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2:12" ht="15.75" customHeight="1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2:12" ht="15.75" customHeight="1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2:12" ht="15.75" customHeight="1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2:12" ht="15.75" customHeight="1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2:12" ht="15.75" customHeight="1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2:12" ht="15.75" customHeight="1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2:12" ht="15.75" customHeight="1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2:12" ht="15.75" customHeight="1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2:12" ht="15.75" customHeight="1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2:12" ht="15.75" customHeight="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2:12" ht="15.75" customHeight="1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2:12" ht="15.75" customHeight="1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2:12" ht="15.75" customHeight="1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2:12" ht="15.75" customHeight="1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2:12" ht="15.75" customHeight="1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2:12" ht="15.75" customHeight="1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2:12" ht="15.75" customHeight="1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2:12" ht="15.75" customHeight="1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2:12" ht="15.75" customHeight="1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2:12" ht="15.75" customHeight="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2:12" ht="15.75" customHeight="1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2:12" ht="15.75" customHeight="1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2:12" ht="15.75" customHeight="1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2:12" ht="15.75" customHeight="1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2:12" ht="15.75" customHeight="1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2:12" ht="15.75" customHeight="1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2:12" ht="15.75" customHeight="1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2:12" ht="15.75" customHeight="1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2:12" ht="15.75" customHeight="1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2:12" ht="15.75" customHeight="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2:12" ht="15.75" customHeight="1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2:12" ht="15.75" customHeight="1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2:12" ht="15.75" customHeight="1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2:12" ht="15.75" customHeight="1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2:12" ht="15.75" customHeight="1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2:12" ht="15.75" customHeight="1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2:12" ht="15.75" customHeight="1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2:12" ht="15.75" customHeight="1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2:12" ht="15.75" customHeight="1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2:12" ht="15.75" customHeight="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2:12" ht="15.75" customHeight="1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2:12" ht="15.75" customHeight="1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2:12" ht="15.75" customHeight="1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2:12" ht="15.75" customHeight="1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2:12" ht="15.75" customHeight="1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2:12" ht="15.75" customHeight="1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2:12" ht="15.75" customHeight="1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2:12" ht="15.75" customHeight="1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2:12" ht="15.75" customHeight="1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2:12" ht="15.75" customHeight="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2:12" ht="15.75" customHeight="1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2:12" ht="15.75" customHeight="1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2:12" ht="15.75" customHeight="1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2:12" ht="15.75" customHeight="1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2:12" ht="15.75" customHeight="1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2:12" ht="15.75" customHeight="1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2:12" ht="15.75" customHeight="1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2:12" ht="15.75" customHeight="1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2:12" ht="15.75" customHeight="1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2:12" ht="15.75" customHeight="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2:12" ht="15.75" customHeight="1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2:12" ht="15.75" customHeight="1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2:12" ht="15.75" customHeight="1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2:12" ht="15.75" customHeight="1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2:12" ht="15.75" customHeight="1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2:12" ht="15.75" customHeight="1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2:12" ht="15.75" customHeight="1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2:12" ht="15.75" customHeight="1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2:12" ht="15.75" customHeight="1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2:12" ht="15.75" customHeight="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2:12" ht="15.75" customHeight="1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2:12" ht="15.75" customHeight="1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2:12" ht="15.75" customHeight="1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2:12" ht="15.75" customHeight="1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2:12" ht="15.75" customHeight="1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2:12" ht="15.75" customHeight="1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2:12" ht="15.75" customHeight="1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2:12" ht="15.75" customHeight="1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2:12" ht="15.75" customHeight="1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2:12" ht="15.75" customHeight="1"/>
    <row r="222" spans="2:12" ht="15.75" customHeight="1"/>
    <row r="223" spans="2:12" ht="15.75" customHeight="1"/>
    <row r="224" spans="2:1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5:C5"/>
    <mergeCell ref="D5:H5"/>
    <mergeCell ref="B1:C1"/>
    <mergeCell ref="I1:J1"/>
    <mergeCell ref="B2:C2"/>
    <mergeCell ref="B3:C3"/>
    <mergeCell ref="B4:C4"/>
  </mergeCells>
  <conditionalFormatting sqref="I8:I9 I11 I14">
    <cfRule type="cellIs" dxfId="79" priority="1" operator="equal">
      <formula>"FAIL"</formula>
    </cfRule>
  </conditionalFormatting>
  <conditionalFormatting sqref="I8:I9 I11 I14">
    <cfRule type="cellIs" dxfId="78" priority="2" operator="equal">
      <formula>"PASS"</formula>
    </cfRule>
  </conditionalFormatting>
  <conditionalFormatting sqref="I8:I9 I11 I14">
    <cfRule type="cellIs" dxfId="77" priority="3" operator="equal">
      <formula>"WARNING"</formula>
    </cfRule>
  </conditionalFormatting>
  <conditionalFormatting sqref="I8:I9 I11 I14">
    <cfRule type="containsBlanks" dxfId="76" priority="4">
      <formula>LEN(TRIM(I8))=0</formula>
    </cfRule>
  </conditionalFormatting>
  <conditionalFormatting sqref="J2">
    <cfRule type="cellIs" dxfId="75" priority="5" operator="equal">
      <formula>"FAIL"</formula>
    </cfRule>
  </conditionalFormatting>
  <conditionalFormatting sqref="J2">
    <cfRule type="cellIs" dxfId="74" priority="6" operator="equal">
      <formula>"PASS"</formula>
    </cfRule>
  </conditionalFormatting>
  <conditionalFormatting sqref="J2">
    <cfRule type="cellIs" dxfId="73" priority="7" operator="equal">
      <formula>"WARNING"</formula>
    </cfRule>
  </conditionalFormatting>
  <conditionalFormatting sqref="J2">
    <cfRule type="containsBlanks" dxfId="72" priority="8">
      <formula>LEN(TRIM(J2))=0</formula>
    </cfRule>
  </conditionalFormatting>
  <conditionalFormatting sqref="J3">
    <cfRule type="cellIs" dxfId="71" priority="9" operator="equal">
      <formula>"FAIL"</formula>
    </cfRule>
  </conditionalFormatting>
  <conditionalFormatting sqref="J3">
    <cfRule type="cellIs" dxfId="70" priority="10" operator="equal">
      <formula>"PASS"</formula>
    </cfRule>
  </conditionalFormatting>
  <conditionalFormatting sqref="J3">
    <cfRule type="cellIs" dxfId="69" priority="11" operator="equal">
      <formula>"WARNING"</formula>
    </cfRule>
  </conditionalFormatting>
  <conditionalFormatting sqref="J3">
    <cfRule type="containsBlanks" dxfId="68" priority="12">
      <formula>LEN(TRIM(J3))=0</formula>
    </cfRule>
  </conditionalFormatting>
  <conditionalFormatting sqref="I7">
    <cfRule type="cellIs" dxfId="67" priority="13" operator="equal">
      <formula>"FAIL"</formula>
    </cfRule>
  </conditionalFormatting>
  <conditionalFormatting sqref="I7">
    <cfRule type="cellIs" dxfId="66" priority="14" operator="equal">
      <formula>"PASS"</formula>
    </cfRule>
  </conditionalFormatting>
  <conditionalFormatting sqref="I7">
    <cfRule type="cellIs" dxfId="65" priority="15" operator="equal">
      <formula>"WARNING"</formula>
    </cfRule>
  </conditionalFormatting>
  <conditionalFormatting sqref="I7">
    <cfRule type="containsBlanks" dxfId="64" priority="16">
      <formula>LEN(TRIM(I7))=0</formula>
    </cfRule>
  </conditionalFormatting>
  <conditionalFormatting sqref="I16">
    <cfRule type="cellIs" dxfId="63" priority="17" operator="equal">
      <formula>"FAIL"</formula>
    </cfRule>
  </conditionalFormatting>
  <conditionalFormatting sqref="I13">
    <cfRule type="cellIs" dxfId="62" priority="18" operator="equal">
      <formula>"FAIL"</formula>
    </cfRule>
  </conditionalFormatting>
  <conditionalFormatting sqref="I13">
    <cfRule type="cellIs" dxfId="61" priority="19" operator="equal">
      <formula>"PASS"</formula>
    </cfRule>
  </conditionalFormatting>
  <conditionalFormatting sqref="I13">
    <cfRule type="cellIs" dxfId="60" priority="20" operator="equal">
      <formula>"WARNING"</formula>
    </cfRule>
  </conditionalFormatting>
  <conditionalFormatting sqref="I13">
    <cfRule type="containsBlanks" dxfId="59" priority="21">
      <formula>LEN(TRIM(I13))=0</formula>
    </cfRule>
  </conditionalFormatting>
  <conditionalFormatting sqref="I10">
    <cfRule type="cellIs" dxfId="58" priority="22" operator="equal">
      <formula>"FAIL"</formula>
    </cfRule>
  </conditionalFormatting>
  <conditionalFormatting sqref="I10">
    <cfRule type="cellIs" dxfId="57" priority="23" operator="equal">
      <formula>"PASS"</formula>
    </cfRule>
  </conditionalFormatting>
  <conditionalFormatting sqref="I10">
    <cfRule type="cellIs" dxfId="56" priority="24" operator="equal">
      <formula>"WARNING"</formula>
    </cfRule>
  </conditionalFormatting>
  <conditionalFormatting sqref="I10">
    <cfRule type="containsBlanks" dxfId="55" priority="25">
      <formula>LEN(TRIM(I10))=0</formula>
    </cfRule>
  </conditionalFormatting>
  <conditionalFormatting sqref="I12">
    <cfRule type="cellIs" dxfId="54" priority="26" operator="equal">
      <formula>"FAIL"</formula>
    </cfRule>
  </conditionalFormatting>
  <conditionalFormatting sqref="I12">
    <cfRule type="cellIs" dxfId="53" priority="27" operator="equal">
      <formula>"PASS"</formula>
    </cfRule>
  </conditionalFormatting>
  <conditionalFormatting sqref="I12">
    <cfRule type="cellIs" dxfId="52" priority="28" operator="equal">
      <formula>"WARNING"</formula>
    </cfRule>
  </conditionalFormatting>
  <conditionalFormatting sqref="I12">
    <cfRule type="containsBlanks" dxfId="51" priority="29">
      <formula>LEN(TRIM(I12))=0</formula>
    </cfRule>
  </conditionalFormatting>
  <conditionalFormatting sqref="I15">
    <cfRule type="cellIs" dxfId="50" priority="30" operator="equal">
      <formula>"FAIL"</formula>
    </cfRule>
  </conditionalFormatting>
  <conditionalFormatting sqref="I15">
    <cfRule type="cellIs" dxfId="49" priority="31" operator="equal">
      <formula>"PASS"</formula>
    </cfRule>
  </conditionalFormatting>
  <conditionalFormatting sqref="I15">
    <cfRule type="cellIs" dxfId="48" priority="32" operator="equal">
      <formula>"WARNING"</formula>
    </cfRule>
  </conditionalFormatting>
  <conditionalFormatting sqref="I15">
    <cfRule type="containsBlanks" dxfId="47" priority="33">
      <formula>LEN(TRIM(I15))=0</formula>
    </cfRule>
  </conditionalFormatting>
  <conditionalFormatting sqref="I16">
    <cfRule type="cellIs" dxfId="46" priority="34" operator="equal">
      <formula>"PASS"</formula>
    </cfRule>
  </conditionalFormatting>
  <conditionalFormatting sqref="I16">
    <cfRule type="cellIs" dxfId="45" priority="35" operator="equal">
      <formula>"WARNING"</formula>
    </cfRule>
  </conditionalFormatting>
  <conditionalFormatting sqref="I16">
    <cfRule type="containsBlanks" dxfId="44" priority="36">
      <formula>LEN(TRIM(I16))=0</formula>
    </cfRule>
  </conditionalFormatting>
  <conditionalFormatting sqref="I17">
    <cfRule type="cellIs" dxfId="43" priority="37" operator="equal">
      <formula>"FAIL"</formula>
    </cfRule>
  </conditionalFormatting>
  <conditionalFormatting sqref="I17">
    <cfRule type="cellIs" dxfId="42" priority="38" operator="equal">
      <formula>"PASS"</formula>
    </cfRule>
  </conditionalFormatting>
  <conditionalFormatting sqref="I17">
    <cfRule type="cellIs" dxfId="41" priority="39" operator="equal">
      <formula>"WARNING"</formula>
    </cfRule>
  </conditionalFormatting>
  <conditionalFormatting sqref="I17">
    <cfRule type="containsBlanks" dxfId="40" priority="40">
      <formula>LEN(TRIM(I17))=0</formula>
    </cfRule>
  </conditionalFormatting>
  <conditionalFormatting sqref="I18">
    <cfRule type="cellIs" dxfId="39" priority="41" operator="equal">
      <formula>"FAIL"</formula>
    </cfRule>
  </conditionalFormatting>
  <conditionalFormatting sqref="I18">
    <cfRule type="cellIs" dxfId="38" priority="42" operator="equal">
      <formula>"PASS"</formula>
    </cfRule>
  </conditionalFormatting>
  <conditionalFormatting sqref="I18">
    <cfRule type="cellIs" dxfId="37" priority="43" operator="equal">
      <formula>"WARNING"</formula>
    </cfRule>
  </conditionalFormatting>
  <conditionalFormatting sqref="I18">
    <cfRule type="containsBlanks" dxfId="36" priority="44">
      <formula>LEN(TRIM(I18))=0</formula>
    </cfRule>
  </conditionalFormatting>
  <conditionalFormatting sqref="I19">
    <cfRule type="cellIs" dxfId="35" priority="45" operator="equal">
      <formula>"FAIL"</formula>
    </cfRule>
  </conditionalFormatting>
  <conditionalFormatting sqref="I19">
    <cfRule type="cellIs" dxfId="34" priority="46" operator="equal">
      <formula>"PASS"</formula>
    </cfRule>
  </conditionalFormatting>
  <conditionalFormatting sqref="I19">
    <cfRule type="cellIs" dxfId="33" priority="47" operator="equal">
      <formula>"WARNING"</formula>
    </cfRule>
  </conditionalFormatting>
  <conditionalFormatting sqref="I19">
    <cfRule type="containsBlanks" dxfId="32" priority="48">
      <formula>LEN(TRIM(I19))=0</formula>
    </cfRule>
  </conditionalFormatting>
  <dataValidations count="1">
    <dataValidation type="list" allowBlank="1" showInputMessage="1" showErrorMessage="1" prompt="Click and enter a value from the list of items" sqref="I7:I19">
      <formula1>"PASS,FAIL,WARNING"</formula1>
    </dataValidation>
  </dataValidations>
  <hyperlinks>
    <hyperlink ref="D1" r:id="rId1"/>
    <hyperlink ref="E7" r:id="rId2"/>
    <hyperlink ref="E8" r:id="rId3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topLeftCell="B8" workbookViewId="0">
      <selection activeCell="K8" sqref="K8"/>
    </sheetView>
  </sheetViews>
  <sheetFormatPr defaultColWidth="14.3984375" defaultRowHeight="15" customHeight="1"/>
  <cols>
    <col min="1" max="1" width="19.8984375" customWidth="1"/>
    <col min="2" max="2" width="29.59765625" customWidth="1"/>
    <col min="3" max="3" width="11.8984375" customWidth="1"/>
    <col min="4" max="4" width="22.296875" customWidth="1"/>
    <col min="5" max="5" width="28.59765625" customWidth="1"/>
    <col min="6" max="6" width="24.8984375" customWidth="1"/>
    <col min="7" max="7" width="22.59765625" customWidth="1"/>
    <col min="8" max="8" width="18" customWidth="1"/>
    <col min="9" max="10" width="8.69921875" customWidth="1"/>
    <col min="11" max="26" width="12.69921875" customWidth="1"/>
  </cols>
  <sheetData>
    <row r="1" spans="1:10" ht="12.75" customHeight="1">
      <c r="A1" s="162" t="s">
        <v>0</v>
      </c>
      <c r="B1" s="159"/>
      <c r="C1" s="54" t="s">
        <v>1</v>
      </c>
      <c r="D1" s="2" t="s">
        <v>2</v>
      </c>
      <c r="E1" s="55" t="s">
        <v>157</v>
      </c>
      <c r="F1" s="4" t="s">
        <v>3</v>
      </c>
      <c r="G1" s="55" t="s">
        <v>157</v>
      </c>
      <c r="H1" s="163" t="s">
        <v>4</v>
      </c>
      <c r="I1" s="159"/>
    </row>
    <row r="2" spans="1:10" ht="12.75" customHeight="1">
      <c r="A2" s="164" t="s">
        <v>5</v>
      </c>
      <c r="B2" s="159"/>
      <c r="C2" s="6" t="s">
        <v>103</v>
      </c>
      <c r="D2" s="2" t="s">
        <v>7</v>
      </c>
      <c r="E2" s="55" t="s">
        <v>157</v>
      </c>
      <c r="F2" s="7" t="s">
        <v>8</v>
      </c>
      <c r="G2" s="55" t="s">
        <v>157</v>
      </c>
      <c r="H2" s="2" t="s">
        <v>9</v>
      </c>
      <c r="I2" s="8">
        <f>COUNTIF(H7:H18, "PASS")</f>
        <v>4</v>
      </c>
    </row>
    <row r="3" spans="1:10" ht="12.75" customHeight="1">
      <c r="A3" s="164" t="s">
        <v>10</v>
      </c>
      <c r="B3" s="159"/>
      <c r="C3" s="6"/>
      <c r="D3" s="10" t="s">
        <v>11</v>
      </c>
      <c r="E3" s="155" t="s">
        <v>321</v>
      </c>
      <c r="F3" s="57" t="s">
        <v>12</v>
      </c>
      <c r="G3" s="6" t="s">
        <v>13</v>
      </c>
      <c r="H3" s="13" t="s">
        <v>14</v>
      </c>
      <c r="I3" s="14">
        <f>COUNTIF(H7:H16, "Fail")</f>
        <v>0</v>
      </c>
    </row>
    <row r="4" spans="1:10" ht="12.75" customHeight="1">
      <c r="A4" s="164" t="s">
        <v>15</v>
      </c>
      <c r="B4" s="159"/>
      <c r="C4" s="6"/>
      <c r="D4" s="10" t="s">
        <v>16</v>
      </c>
      <c r="E4" s="155" t="s">
        <v>321</v>
      </c>
      <c r="F4" s="57" t="s">
        <v>17</v>
      </c>
      <c r="G4" s="16" t="s">
        <v>13</v>
      </c>
      <c r="H4" s="2" t="s">
        <v>18</v>
      </c>
      <c r="I4" s="17">
        <f>COUNTIF(H7:H16, "WARNING")</f>
        <v>2</v>
      </c>
    </row>
    <row r="5" spans="1:10" ht="12.75" customHeight="1">
      <c r="A5" s="158" t="s">
        <v>19</v>
      </c>
      <c r="B5" s="159"/>
      <c r="C5" s="160" t="s">
        <v>321</v>
      </c>
      <c r="D5" s="161"/>
      <c r="E5" s="161"/>
      <c r="F5" s="161"/>
      <c r="G5" s="159"/>
      <c r="H5" s="18" t="s">
        <v>20</v>
      </c>
      <c r="I5" s="19">
        <f>SUM(I2:I3:I4)</f>
        <v>6</v>
      </c>
    </row>
    <row r="6" spans="1:10" ht="12.75" customHeight="1">
      <c r="A6" s="20" t="s">
        <v>21</v>
      </c>
      <c r="B6" s="22" t="s">
        <v>22</v>
      </c>
      <c r="C6" s="22"/>
      <c r="D6" s="22" t="s">
        <v>23</v>
      </c>
      <c r="E6" s="22" t="s">
        <v>24</v>
      </c>
      <c r="F6" s="22" t="s">
        <v>25</v>
      </c>
      <c r="G6" s="22" t="s">
        <v>26</v>
      </c>
      <c r="H6" s="21" t="s">
        <v>27</v>
      </c>
      <c r="I6" s="21" t="s">
        <v>28</v>
      </c>
    </row>
    <row r="7" spans="1:10" ht="90" customHeight="1">
      <c r="A7" s="25" t="s">
        <v>104</v>
      </c>
      <c r="B7" s="26" t="s">
        <v>105</v>
      </c>
      <c r="C7" s="27"/>
      <c r="D7" s="23" t="s">
        <v>67</v>
      </c>
      <c r="E7" s="43" t="s">
        <v>325</v>
      </c>
      <c r="F7" s="26" t="s">
        <v>106</v>
      </c>
      <c r="G7" s="30" t="s">
        <v>107</v>
      </c>
      <c r="H7" s="31" t="s">
        <v>9</v>
      </c>
      <c r="I7" s="32"/>
    </row>
    <row r="8" spans="1:10" ht="70.5" customHeight="1">
      <c r="A8" s="25" t="s">
        <v>108</v>
      </c>
      <c r="B8" s="26" t="s">
        <v>109</v>
      </c>
      <c r="C8" s="36"/>
      <c r="D8" s="37" t="s">
        <v>67</v>
      </c>
      <c r="E8" s="58" t="s">
        <v>326</v>
      </c>
      <c r="F8" s="26" t="s">
        <v>110</v>
      </c>
      <c r="G8" s="30" t="s">
        <v>111</v>
      </c>
      <c r="H8" s="31" t="s">
        <v>9</v>
      </c>
      <c r="I8" s="32"/>
    </row>
    <row r="9" spans="1:10" ht="73.5" customHeight="1">
      <c r="A9" s="25" t="s">
        <v>112</v>
      </c>
      <c r="B9" s="26" t="s">
        <v>113</v>
      </c>
      <c r="C9" s="26"/>
      <c r="D9" s="59" t="s">
        <v>67</v>
      </c>
      <c r="E9" s="38" t="s">
        <v>327</v>
      </c>
      <c r="F9" s="26" t="s">
        <v>114</v>
      </c>
      <c r="G9" s="26" t="s">
        <v>115</v>
      </c>
      <c r="H9" s="8" t="s">
        <v>18</v>
      </c>
      <c r="I9" s="32"/>
    </row>
    <row r="10" spans="1:10" ht="63.75" customHeight="1">
      <c r="A10" s="40" t="s">
        <v>116</v>
      </c>
      <c r="B10" s="48" t="s">
        <v>117</v>
      </c>
      <c r="C10" s="48"/>
      <c r="D10" s="48" t="s">
        <v>118</v>
      </c>
      <c r="E10" s="60" t="s">
        <v>327</v>
      </c>
      <c r="F10" s="48" t="s">
        <v>119</v>
      </c>
      <c r="G10" s="48" t="s">
        <v>70</v>
      </c>
      <c r="H10" s="8" t="s">
        <v>9</v>
      </c>
      <c r="I10" s="32"/>
    </row>
    <row r="11" spans="1:10" ht="97" customHeight="1">
      <c r="A11" s="147" t="s">
        <v>120</v>
      </c>
      <c r="B11" s="149" t="s">
        <v>121</v>
      </c>
      <c r="C11" s="150"/>
      <c r="D11" s="149" t="s">
        <v>122</v>
      </c>
      <c r="E11" s="150" t="s">
        <v>326</v>
      </c>
      <c r="F11" s="149" t="s">
        <v>123</v>
      </c>
      <c r="G11" s="149" t="s">
        <v>124</v>
      </c>
      <c r="H11" s="148" t="s">
        <v>9</v>
      </c>
      <c r="I11" s="32"/>
    </row>
    <row r="12" spans="1:10" ht="133.5" customHeight="1">
      <c r="A12" s="61" t="s">
        <v>125</v>
      </c>
      <c r="B12" s="151" t="s">
        <v>126</v>
      </c>
      <c r="C12" s="151"/>
      <c r="D12" s="149" t="s">
        <v>67</v>
      </c>
      <c r="E12" s="151" t="s">
        <v>327</v>
      </c>
      <c r="F12" s="149" t="s">
        <v>127</v>
      </c>
      <c r="G12" s="149" t="s">
        <v>128</v>
      </c>
      <c r="H12" s="63" t="s">
        <v>18</v>
      </c>
      <c r="I12" s="32"/>
    </row>
    <row r="13" spans="1:10" ht="26.25" customHeight="1">
      <c r="A13" s="64"/>
      <c r="B13" s="62"/>
      <c r="C13" s="62"/>
      <c r="D13" s="62"/>
      <c r="E13" s="62"/>
      <c r="F13" s="62"/>
      <c r="G13" s="62"/>
      <c r="H13" s="65"/>
      <c r="I13" s="66"/>
    </row>
    <row r="14" spans="1:10" ht="26.25" customHeight="1">
      <c r="A14" s="64"/>
      <c r="B14" s="62"/>
      <c r="C14" s="62"/>
      <c r="D14" s="62"/>
      <c r="E14" s="62"/>
      <c r="F14" s="62"/>
      <c r="G14" s="62"/>
      <c r="H14" s="65"/>
      <c r="I14" s="67"/>
      <c r="J14" s="9"/>
    </row>
    <row r="15" spans="1:10" ht="26.25" customHeight="1">
      <c r="A15" s="64"/>
      <c r="B15" s="62"/>
      <c r="C15" s="62"/>
      <c r="D15" s="62"/>
      <c r="E15" s="62"/>
      <c r="F15" s="62"/>
      <c r="G15" s="62"/>
      <c r="H15" s="65"/>
      <c r="I15" s="67"/>
      <c r="J15" s="9"/>
    </row>
    <row r="16" spans="1:10" ht="26.25" customHeight="1">
      <c r="A16" s="64"/>
      <c r="B16" s="62"/>
      <c r="C16" s="62"/>
      <c r="D16" s="62"/>
      <c r="E16" s="62"/>
      <c r="F16" s="62"/>
      <c r="G16" s="62"/>
      <c r="H16" s="65"/>
      <c r="I16" s="67"/>
      <c r="J16" s="9"/>
    </row>
    <row r="17" spans="1:10" ht="26.25" customHeight="1">
      <c r="A17" s="64"/>
      <c r="B17" s="62"/>
      <c r="C17" s="62"/>
      <c r="D17" s="62"/>
      <c r="E17" s="62"/>
      <c r="F17" s="62"/>
      <c r="G17" s="62"/>
      <c r="H17" s="65"/>
      <c r="I17" s="67"/>
      <c r="J17" s="9"/>
    </row>
    <row r="18" spans="1:10" ht="26.25" customHeight="1">
      <c r="A18" s="64"/>
      <c r="B18" s="62"/>
      <c r="C18" s="62"/>
      <c r="D18" s="62"/>
      <c r="E18" s="62"/>
      <c r="F18" s="62"/>
      <c r="G18" s="62"/>
      <c r="H18" s="65"/>
      <c r="I18" s="67"/>
      <c r="J18" s="9"/>
    </row>
    <row r="19" spans="1:10" ht="26.25" customHeight="1">
      <c r="A19" s="64"/>
      <c r="B19" s="62"/>
      <c r="C19" s="62"/>
      <c r="D19" s="62"/>
      <c r="E19" s="62"/>
      <c r="F19" s="62"/>
      <c r="G19" s="62"/>
      <c r="H19" s="65"/>
      <c r="I19" s="67"/>
      <c r="J19" s="9"/>
    </row>
    <row r="20" spans="1:10" ht="12.75" customHeight="1"/>
    <row r="21" spans="1:10" ht="12.75" customHeight="1"/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5:B5"/>
    <mergeCell ref="C5:G5"/>
    <mergeCell ref="A1:B1"/>
    <mergeCell ref="H1:I1"/>
    <mergeCell ref="A2:B2"/>
    <mergeCell ref="A3:B3"/>
    <mergeCell ref="A4:B4"/>
  </mergeCells>
  <conditionalFormatting sqref="H9 H11">
    <cfRule type="cellIs" dxfId="31" priority="1" operator="equal">
      <formula>"FAIL"</formula>
    </cfRule>
  </conditionalFormatting>
  <conditionalFormatting sqref="H9 H11">
    <cfRule type="cellIs" dxfId="30" priority="2" operator="equal">
      <formula>"PASS"</formula>
    </cfRule>
  </conditionalFormatting>
  <conditionalFormatting sqref="H9 H11">
    <cfRule type="cellIs" dxfId="29" priority="3" operator="equal">
      <formula>"WARNING"</formula>
    </cfRule>
  </conditionalFormatting>
  <conditionalFormatting sqref="H9 H11">
    <cfRule type="containsBlanks" dxfId="28" priority="4">
      <formula>LEN(TRIM(H9))=0</formula>
    </cfRule>
  </conditionalFormatting>
  <conditionalFormatting sqref="I2">
    <cfRule type="cellIs" dxfId="27" priority="5" operator="equal">
      <formula>"FAIL"</formula>
    </cfRule>
  </conditionalFormatting>
  <conditionalFormatting sqref="I2">
    <cfRule type="cellIs" dxfId="26" priority="6" operator="equal">
      <formula>"PASS"</formula>
    </cfRule>
  </conditionalFormatting>
  <conditionalFormatting sqref="I2">
    <cfRule type="cellIs" dxfId="25" priority="7" operator="equal">
      <formula>"WARNING"</formula>
    </cfRule>
  </conditionalFormatting>
  <conditionalFormatting sqref="I2">
    <cfRule type="containsBlanks" dxfId="24" priority="8">
      <formula>LEN(TRIM(I2))=0</formula>
    </cfRule>
  </conditionalFormatting>
  <conditionalFormatting sqref="I3">
    <cfRule type="cellIs" dxfId="23" priority="9" operator="equal">
      <formula>"FAIL"</formula>
    </cfRule>
  </conditionalFormatting>
  <conditionalFormatting sqref="I3">
    <cfRule type="cellIs" dxfId="22" priority="10" operator="equal">
      <formula>"PASS"</formula>
    </cfRule>
  </conditionalFormatting>
  <conditionalFormatting sqref="I3">
    <cfRule type="cellIs" dxfId="21" priority="11" operator="equal">
      <formula>"WARNING"</formula>
    </cfRule>
  </conditionalFormatting>
  <conditionalFormatting sqref="I3">
    <cfRule type="containsBlanks" dxfId="20" priority="12">
      <formula>LEN(TRIM(I3))=0</formula>
    </cfRule>
  </conditionalFormatting>
  <conditionalFormatting sqref="H7">
    <cfRule type="cellIs" dxfId="19" priority="13" operator="equal">
      <formula>"FAIL"</formula>
    </cfRule>
  </conditionalFormatting>
  <conditionalFormatting sqref="H7">
    <cfRule type="cellIs" dxfId="18" priority="14" operator="equal">
      <formula>"PASS"</formula>
    </cfRule>
  </conditionalFormatting>
  <conditionalFormatting sqref="H7">
    <cfRule type="cellIs" dxfId="17" priority="15" operator="equal">
      <formula>"WARNING"</formula>
    </cfRule>
  </conditionalFormatting>
  <conditionalFormatting sqref="H7">
    <cfRule type="containsBlanks" dxfId="16" priority="16">
      <formula>LEN(TRIM(H7))=0</formula>
    </cfRule>
  </conditionalFormatting>
  <conditionalFormatting sqref="H13:H19 Q13:Z19">
    <cfRule type="cellIs" dxfId="15" priority="17" operator="equal">
      <formula>"FAIL"</formula>
    </cfRule>
  </conditionalFormatting>
  <conditionalFormatting sqref="H13:H19">
    <cfRule type="cellIs" dxfId="14" priority="18" operator="equal">
      <formula>"PASS"</formula>
    </cfRule>
  </conditionalFormatting>
  <conditionalFormatting sqref="H13:H19">
    <cfRule type="cellIs" dxfId="13" priority="19" operator="equal">
      <formula>"WARNING"</formula>
    </cfRule>
  </conditionalFormatting>
  <conditionalFormatting sqref="H13:H19">
    <cfRule type="containsBlanks" dxfId="12" priority="20">
      <formula>LEN(TRIM(H13))=0</formula>
    </cfRule>
  </conditionalFormatting>
  <conditionalFormatting sqref="H10">
    <cfRule type="cellIs" dxfId="11" priority="21" operator="equal">
      <formula>"FAIL"</formula>
    </cfRule>
  </conditionalFormatting>
  <conditionalFormatting sqref="H10">
    <cfRule type="cellIs" dxfId="10" priority="22" operator="equal">
      <formula>"PASS"</formula>
    </cfRule>
  </conditionalFormatting>
  <conditionalFormatting sqref="H10">
    <cfRule type="cellIs" dxfId="9" priority="23" operator="equal">
      <formula>"WARNING"</formula>
    </cfRule>
  </conditionalFormatting>
  <conditionalFormatting sqref="H10">
    <cfRule type="containsBlanks" dxfId="8" priority="24">
      <formula>LEN(TRIM(H10))=0</formula>
    </cfRule>
  </conditionalFormatting>
  <conditionalFormatting sqref="H12">
    <cfRule type="cellIs" dxfId="7" priority="25" operator="equal">
      <formula>"FAIL"</formula>
    </cfRule>
  </conditionalFormatting>
  <conditionalFormatting sqref="H12">
    <cfRule type="cellIs" dxfId="6" priority="26" operator="equal">
      <formula>"PASS"</formula>
    </cfRule>
  </conditionalFormatting>
  <conditionalFormatting sqref="H12">
    <cfRule type="cellIs" dxfId="5" priority="27" operator="equal">
      <formula>"WARNING"</formula>
    </cfRule>
  </conditionalFormatting>
  <conditionalFormatting sqref="H12">
    <cfRule type="containsBlanks" dxfId="4" priority="28">
      <formula>LEN(TRIM(H12))=0</formula>
    </cfRule>
  </conditionalFormatting>
  <conditionalFormatting sqref="H8">
    <cfRule type="cellIs" dxfId="3" priority="29" operator="equal">
      <formula>"FAIL"</formula>
    </cfRule>
  </conditionalFormatting>
  <conditionalFormatting sqref="H8">
    <cfRule type="cellIs" dxfId="2" priority="30" operator="equal">
      <formula>"PASS"</formula>
    </cfRule>
  </conditionalFormatting>
  <conditionalFormatting sqref="H8">
    <cfRule type="cellIs" dxfId="1" priority="31" operator="equal">
      <formula>"WARNING"</formula>
    </cfRule>
  </conditionalFormatting>
  <conditionalFormatting sqref="H8">
    <cfRule type="containsBlanks" dxfId="0" priority="32">
      <formula>LEN(TRIM(H8))=0</formula>
    </cfRule>
  </conditionalFormatting>
  <dataValidations count="1">
    <dataValidation type="list" allowBlank="1" showInputMessage="1" showErrorMessage="1" prompt="Click and enter a value from the list of items" sqref="H7:H19">
      <formula1>"PASS,FAIL,WARNING"</formula1>
    </dataValidation>
  </dataValidations>
  <hyperlinks>
    <hyperlink ref="C1" r:id="rId1"/>
  </hyperlinks>
  <pageMargins left="0.7" right="0.7" top="0.75" bottom="0.75" header="0" footer="0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4:G17"/>
  <sheetViews>
    <sheetView topLeftCell="C1" workbookViewId="0">
      <selection activeCell="C5" sqref="C5"/>
    </sheetView>
  </sheetViews>
  <sheetFormatPr defaultColWidth="14.3984375" defaultRowHeight="15" customHeight="1"/>
  <cols>
    <col min="3" max="3" width="26.796875" customWidth="1"/>
    <col min="4" max="4" width="16" customWidth="1"/>
    <col min="7" max="7" width="97.59765625" customWidth="1"/>
  </cols>
  <sheetData>
    <row r="4" spans="2:7" ht="15" customHeight="1">
      <c r="B4" s="68" t="s">
        <v>129</v>
      </c>
      <c r="C4" s="69" t="s">
        <v>130</v>
      </c>
    </row>
    <row r="5" spans="2:7" ht="15" customHeight="1">
      <c r="B5" s="69" t="s">
        <v>131</v>
      </c>
      <c r="C5" s="153" t="s">
        <v>322</v>
      </c>
    </row>
    <row r="6" spans="2:7" ht="15.5">
      <c r="E6" s="70" t="s">
        <v>132</v>
      </c>
      <c r="F6" s="71" t="s">
        <v>133</v>
      </c>
      <c r="G6" s="72" t="s">
        <v>134</v>
      </c>
    </row>
    <row r="7" spans="2:7" ht="14.5">
      <c r="E7" s="73">
        <v>1</v>
      </c>
      <c r="F7" s="74" t="s">
        <v>135</v>
      </c>
      <c r="G7" s="75" t="s">
        <v>136</v>
      </c>
    </row>
    <row r="8" spans="2:7" ht="14.5">
      <c r="E8" s="73">
        <v>2</v>
      </c>
      <c r="F8" s="74" t="s">
        <v>137</v>
      </c>
      <c r="G8" s="76" t="s">
        <v>138</v>
      </c>
    </row>
    <row r="9" spans="2:7" ht="14.5">
      <c r="E9" s="73">
        <v>3</v>
      </c>
      <c r="F9" s="74" t="s">
        <v>139</v>
      </c>
      <c r="G9" s="75" t="s">
        <v>140</v>
      </c>
    </row>
    <row r="10" spans="2:7" ht="14.5">
      <c r="E10" s="77">
        <v>4</v>
      </c>
      <c r="F10" s="74" t="s">
        <v>141</v>
      </c>
      <c r="G10" s="75" t="s">
        <v>142</v>
      </c>
    </row>
    <row r="11" spans="2:7" ht="14.5">
      <c r="E11" s="77">
        <v>5</v>
      </c>
      <c r="F11" s="74" t="s">
        <v>143</v>
      </c>
      <c r="G11" s="75" t="s">
        <v>144</v>
      </c>
    </row>
    <row r="12" spans="2:7" ht="14.5">
      <c r="E12" s="77">
        <v>6</v>
      </c>
      <c r="F12" s="78" t="s">
        <v>141</v>
      </c>
      <c r="G12" s="75" t="s">
        <v>145</v>
      </c>
    </row>
    <row r="13" spans="2:7" ht="14.5">
      <c r="E13" s="77">
        <v>7</v>
      </c>
      <c r="F13" s="74" t="s">
        <v>146</v>
      </c>
      <c r="G13" s="75" t="s">
        <v>147</v>
      </c>
    </row>
    <row r="14" spans="2:7" ht="14.5">
      <c r="E14" s="77">
        <v>8</v>
      </c>
      <c r="F14" s="74" t="s">
        <v>148</v>
      </c>
      <c r="G14" s="79" t="s">
        <v>149</v>
      </c>
    </row>
    <row r="15" spans="2:7" ht="14.5">
      <c r="E15" s="77">
        <v>9</v>
      </c>
      <c r="F15" s="74" t="s">
        <v>150</v>
      </c>
      <c r="G15" s="75" t="s">
        <v>151</v>
      </c>
    </row>
    <row r="16" spans="2:7" ht="14.5">
      <c r="E16" s="77">
        <v>10</v>
      </c>
      <c r="F16" s="74" t="s">
        <v>152</v>
      </c>
      <c r="G16" s="75" t="s">
        <v>153</v>
      </c>
    </row>
    <row r="17" spans="5:7" ht="14.5">
      <c r="E17" s="77">
        <v>11</v>
      </c>
      <c r="F17" s="78" t="s">
        <v>154</v>
      </c>
      <c r="G17" s="80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5"/>
  <sheetViews>
    <sheetView topLeftCell="B9" workbookViewId="0">
      <selection activeCell="K9" sqref="K9"/>
    </sheetView>
  </sheetViews>
  <sheetFormatPr defaultColWidth="14.3984375" defaultRowHeight="15" customHeight="1"/>
  <cols>
    <col min="3" max="3" width="25.8984375" customWidth="1"/>
    <col min="6" max="6" width="22.8984375" customWidth="1"/>
    <col min="11" max="11" width="26.69921875" customWidth="1"/>
  </cols>
  <sheetData>
    <row r="1" spans="1:11" ht="13">
      <c r="A1" s="81" t="s">
        <v>156</v>
      </c>
      <c r="B1" s="170" t="s">
        <v>0</v>
      </c>
      <c r="C1" s="161"/>
      <c r="D1" s="159"/>
      <c r="E1" s="82" t="s">
        <v>130</v>
      </c>
      <c r="F1" s="83" t="s">
        <v>3</v>
      </c>
      <c r="G1" s="84" t="s">
        <v>157</v>
      </c>
      <c r="H1" s="85"/>
      <c r="I1" s="171" t="s">
        <v>4</v>
      </c>
      <c r="J1" s="159"/>
      <c r="K1" s="86"/>
    </row>
    <row r="2" spans="1:11" ht="13">
      <c r="A2" s="87"/>
      <c r="B2" s="172" t="s">
        <v>5</v>
      </c>
      <c r="C2" s="166"/>
      <c r="D2" s="167"/>
      <c r="E2" s="152" t="s">
        <v>152</v>
      </c>
      <c r="F2" s="89" t="s">
        <v>8</v>
      </c>
      <c r="G2" s="90" t="s">
        <v>157</v>
      </c>
      <c r="H2" s="91"/>
      <c r="I2" s="92" t="s">
        <v>9</v>
      </c>
      <c r="J2" s="93">
        <v>9</v>
      </c>
      <c r="K2" s="94"/>
    </row>
    <row r="3" spans="1:11" ht="26">
      <c r="A3" s="87"/>
      <c r="B3" s="172" t="s">
        <v>158</v>
      </c>
      <c r="C3" s="166"/>
      <c r="D3" s="167"/>
      <c r="E3" s="152" t="s">
        <v>322</v>
      </c>
      <c r="F3" s="95" t="s">
        <v>12</v>
      </c>
      <c r="G3" s="88" t="s">
        <v>159</v>
      </c>
      <c r="H3" s="94"/>
      <c r="I3" s="96" t="s">
        <v>14</v>
      </c>
      <c r="J3" s="97">
        <f>COUNTIF(I7:I15, "Fail")</f>
        <v>0</v>
      </c>
      <c r="K3" s="94"/>
    </row>
    <row r="4" spans="1:11" ht="26">
      <c r="A4" s="98"/>
      <c r="B4" s="172" t="s">
        <v>160</v>
      </c>
      <c r="C4" s="166"/>
      <c r="D4" s="167"/>
      <c r="E4" s="152" t="s">
        <v>322</v>
      </c>
      <c r="F4" s="95" t="s">
        <v>17</v>
      </c>
      <c r="G4" s="88" t="s">
        <v>159</v>
      </c>
      <c r="H4" s="94"/>
      <c r="I4" s="99" t="s">
        <v>18</v>
      </c>
      <c r="J4" s="100">
        <f>COUNTIF(I7:I15, "WARNING")</f>
        <v>0</v>
      </c>
      <c r="K4" s="94"/>
    </row>
    <row r="5" spans="1:11" ht="13">
      <c r="A5" s="87"/>
      <c r="B5" s="165"/>
      <c r="C5" s="166"/>
      <c r="D5" s="166"/>
      <c r="E5" s="166"/>
      <c r="F5" s="166"/>
      <c r="G5" s="166"/>
      <c r="H5" s="167"/>
      <c r="I5" s="101" t="s">
        <v>20</v>
      </c>
      <c r="J5" s="102">
        <v>9</v>
      </c>
      <c r="K5" s="94"/>
    </row>
    <row r="6" spans="1:11" ht="26">
      <c r="A6" s="87"/>
      <c r="B6" s="103" t="s">
        <v>161</v>
      </c>
      <c r="C6" s="103" t="s">
        <v>162</v>
      </c>
      <c r="D6" s="104" t="s">
        <v>22</v>
      </c>
      <c r="E6" s="103" t="s">
        <v>23</v>
      </c>
      <c r="F6" s="103" t="s">
        <v>24</v>
      </c>
      <c r="G6" s="103" t="s">
        <v>25</v>
      </c>
      <c r="H6" s="103" t="s">
        <v>163</v>
      </c>
      <c r="I6" s="103" t="s">
        <v>27</v>
      </c>
      <c r="J6" s="103" t="s">
        <v>28</v>
      </c>
      <c r="K6" s="105" t="s">
        <v>164</v>
      </c>
    </row>
    <row r="7" spans="1:11" ht="85.5" customHeight="1">
      <c r="A7" s="98"/>
      <c r="B7" s="106" t="s">
        <v>165</v>
      </c>
      <c r="C7" s="106"/>
      <c r="D7" s="107" t="s">
        <v>166</v>
      </c>
      <c r="E7" s="107" t="s">
        <v>67</v>
      </c>
      <c r="F7" s="156" t="s">
        <v>328</v>
      </c>
      <c r="G7" s="107" t="s">
        <v>167</v>
      </c>
      <c r="H7" s="107" t="s">
        <v>167</v>
      </c>
      <c r="I7" s="109" t="s">
        <v>9</v>
      </c>
      <c r="J7" s="110"/>
      <c r="K7" s="94" t="s">
        <v>168</v>
      </c>
    </row>
    <row r="8" spans="1:11" ht="79.5" customHeight="1">
      <c r="A8" s="98"/>
      <c r="B8" s="106" t="s">
        <v>169</v>
      </c>
      <c r="C8" s="106" t="s">
        <v>170</v>
      </c>
      <c r="D8" s="107" t="s">
        <v>171</v>
      </c>
      <c r="E8" s="107"/>
      <c r="F8" s="157" t="s">
        <v>328</v>
      </c>
      <c r="G8" s="107" t="s">
        <v>172</v>
      </c>
      <c r="H8" s="107" t="s">
        <v>173</v>
      </c>
      <c r="I8" s="112" t="s">
        <v>9</v>
      </c>
      <c r="J8" s="94"/>
      <c r="K8" s="106" t="s">
        <v>174</v>
      </c>
    </row>
    <row r="9" spans="1:11" ht="75.5" customHeight="1">
      <c r="A9" s="87"/>
      <c r="B9" s="106" t="s">
        <v>175</v>
      </c>
      <c r="C9" s="168" t="s">
        <v>176</v>
      </c>
      <c r="D9" s="107" t="s">
        <v>177</v>
      </c>
      <c r="E9" s="113" t="s">
        <v>178</v>
      </c>
      <c r="F9" s="111" t="s">
        <v>179</v>
      </c>
      <c r="G9" s="107" t="s">
        <v>180</v>
      </c>
      <c r="H9" s="107" t="s">
        <v>181</v>
      </c>
      <c r="I9" s="112" t="s">
        <v>9</v>
      </c>
      <c r="J9" s="114"/>
      <c r="K9" s="106" t="s">
        <v>182</v>
      </c>
    </row>
    <row r="10" spans="1:11" ht="135.5" customHeight="1">
      <c r="A10" s="87"/>
      <c r="B10" s="106" t="s">
        <v>183</v>
      </c>
      <c r="C10" s="169"/>
      <c r="D10" s="107" t="s">
        <v>184</v>
      </c>
      <c r="E10" s="108" t="s">
        <v>185</v>
      </c>
      <c r="F10" s="157" t="s">
        <v>329</v>
      </c>
      <c r="G10" s="107" t="s">
        <v>186</v>
      </c>
      <c r="H10" s="107" t="s">
        <v>187</v>
      </c>
      <c r="I10" s="112" t="s">
        <v>9</v>
      </c>
      <c r="J10" s="94"/>
      <c r="K10" s="133" t="s">
        <v>182</v>
      </c>
    </row>
    <row r="11" spans="1:11" ht="114" customHeight="1">
      <c r="A11" s="87"/>
      <c r="B11" s="106" t="s">
        <v>188</v>
      </c>
      <c r="C11" s="169"/>
      <c r="D11" s="107" t="s">
        <v>189</v>
      </c>
      <c r="E11" s="113" t="s">
        <v>190</v>
      </c>
      <c r="F11" s="111" t="s">
        <v>191</v>
      </c>
      <c r="G11" s="107" t="s">
        <v>186</v>
      </c>
      <c r="H11" s="107" t="s">
        <v>187</v>
      </c>
      <c r="I11" s="112" t="s">
        <v>9</v>
      </c>
      <c r="J11" s="94"/>
      <c r="K11" s="133" t="s">
        <v>182</v>
      </c>
    </row>
    <row r="12" spans="1:11" ht="151.5" customHeight="1">
      <c r="A12" s="87"/>
      <c r="B12" s="106" t="s">
        <v>192</v>
      </c>
      <c r="C12" s="169"/>
      <c r="D12" s="107" t="s">
        <v>193</v>
      </c>
      <c r="E12" s="113" t="s">
        <v>194</v>
      </c>
      <c r="F12" s="157" t="s">
        <v>330</v>
      </c>
      <c r="G12" s="107" t="s">
        <v>186</v>
      </c>
      <c r="H12" s="107" t="s">
        <v>187</v>
      </c>
      <c r="I12" s="112" t="s">
        <v>9</v>
      </c>
      <c r="J12" s="94"/>
      <c r="K12" s="133" t="s">
        <v>182</v>
      </c>
    </row>
    <row r="13" spans="1:11" ht="181.5" customHeight="1">
      <c r="A13" s="87"/>
      <c r="B13" s="106" t="s">
        <v>195</v>
      </c>
      <c r="C13" s="169"/>
      <c r="D13" s="107" t="s">
        <v>196</v>
      </c>
      <c r="E13" s="113" t="s">
        <v>197</v>
      </c>
      <c r="F13" s="111" t="s">
        <v>198</v>
      </c>
      <c r="G13" s="107" t="s">
        <v>186</v>
      </c>
      <c r="H13" s="107" t="s">
        <v>187</v>
      </c>
      <c r="I13" s="112" t="s">
        <v>9</v>
      </c>
      <c r="J13" s="94"/>
      <c r="K13" s="133" t="s">
        <v>182</v>
      </c>
    </row>
    <row r="14" spans="1:11" ht="156" customHeight="1">
      <c r="A14" s="87"/>
      <c r="B14" s="106" t="s">
        <v>199</v>
      </c>
      <c r="C14" s="169"/>
      <c r="D14" s="107" t="s">
        <v>200</v>
      </c>
      <c r="E14" s="113" t="s">
        <v>201</v>
      </c>
      <c r="F14" s="157" t="s">
        <v>331</v>
      </c>
      <c r="G14" s="107" t="s">
        <v>186</v>
      </c>
      <c r="H14" s="107" t="s">
        <v>187</v>
      </c>
      <c r="I14" s="112" t="s">
        <v>9</v>
      </c>
      <c r="J14" s="94"/>
      <c r="K14" s="133" t="s">
        <v>182</v>
      </c>
    </row>
    <row r="15" spans="1:11" ht="154.5" customHeight="1">
      <c r="A15" s="87"/>
      <c r="B15" s="106" t="s">
        <v>202</v>
      </c>
      <c r="C15" s="167"/>
      <c r="D15" s="107" t="s">
        <v>203</v>
      </c>
      <c r="E15" s="108" t="s">
        <v>204</v>
      </c>
      <c r="F15" s="157" t="s">
        <v>332</v>
      </c>
      <c r="G15" s="107" t="s">
        <v>186</v>
      </c>
      <c r="H15" s="107" t="s">
        <v>205</v>
      </c>
      <c r="I15" s="112" t="s">
        <v>9</v>
      </c>
      <c r="J15" s="94"/>
      <c r="K15" s="133" t="s">
        <v>182</v>
      </c>
    </row>
  </sheetData>
  <mergeCells count="7">
    <mergeCell ref="B5:H5"/>
    <mergeCell ref="C9:C15"/>
    <mergeCell ref="B1:D1"/>
    <mergeCell ref="I1:J1"/>
    <mergeCell ref="B2:D2"/>
    <mergeCell ref="B3:D3"/>
    <mergeCell ref="B4:D4"/>
  </mergeCells>
  <dataValidations count="1">
    <dataValidation type="list" allowBlank="1" showInputMessage="1" showErrorMessage="1" prompt="Click and enter a value from the list of items" sqref="I7:I15">
      <formula1>"PASS,FAIL,WARNING"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48"/>
  <sheetViews>
    <sheetView topLeftCell="A3" workbookViewId="0">
      <selection activeCell="F4" sqref="F4"/>
    </sheetView>
  </sheetViews>
  <sheetFormatPr defaultColWidth="14.3984375" defaultRowHeight="15" customHeight="1"/>
  <sheetData>
    <row r="1" spans="1:11" ht="26">
      <c r="A1" s="81" t="s">
        <v>206</v>
      </c>
      <c r="B1" s="170" t="s">
        <v>0</v>
      </c>
      <c r="C1" s="161"/>
      <c r="D1" s="161"/>
      <c r="E1" s="159"/>
      <c r="F1" s="115" t="s">
        <v>130</v>
      </c>
      <c r="G1" s="116" t="s">
        <v>3</v>
      </c>
      <c r="H1" s="117" t="s">
        <v>157</v>
      </c>
      <c r="I1" s="118" t="s">
        <v>4</v>
      </c>
      <c r="J1" s="119"/>
      <c r="K1" s="119"/>
    </row>
    <row r="2" spans="1:11" ht="26">
      <c r="A2" s="87"/>
      <c r="B2" s="172" t="s">
        <v>5</v>
      </c>
      <c r="C2" s="166"/>
      <c r="D2" s="166"/>
      <c r="E2" s="167"/>
      <c r="F2" s="120" t="s">
        <v>207</v>
      </c>
      <c r="G2" s="121" t="s">
        <v>8</v>
      </c>
      <c r="H2" s="122" t="s">
        <v>208</v>
      </c>
      <c r="I2" s="123" t="s">
        <v>9</v>
      </c>
      <c r="J2" s="39">
        <v>50</v>
      </c>
      <c r="K2" s="119"/>
    </row>
    <row r="3" spans="1:11" ht="26">
      <c r="A3" s="87"/>
      <c r="B3" s="172" t="s">
        <v>158</v>
      </c>
      <c r="C3" s="166"/>
      <c r="D3" s="166"/>
      <c r="E3" s="167"/>
      <c r="F3" s="154" t="s">
        <v>320</v>
      </c>
      <c r="G3" s="124" t="s">
        <v>12</v>
      </c>
      <c r="H3" s="125" t="s">
        <v>159</v>
      </c>
      <c r="I3" s="126" t="s">
        <v>14</v>
      </c>
      <c r="J3" s="14">
        <f>COUNTIF(I7:I62, "Fail")</f>
        <v>0</v>
      </c>
      <c r="K3" s="119"/>
    </row>
    <row r="4" spans="1:11" ht="26">
      <c r="A4" s="98"/>
      <c r="B4" s="172" t="s">
        <v>160</v>
      </c>
      <c r="C4" s="166"/>
      <c r="D4" s="166"/>
      <c r="E4" s="167"/>
      <c r="F4" s="154" t="s">
        <v>320</v>
      </c>
      <c r="G4" s="124" t="s">
        <v>17</v>
      </c>
      <c r="H4" s="125" t="s">
        <v>159</v>
      </c>
      <c r="I4" s="127" t="s">
        <v>18</v>
      </c>
      <c r="J4" s="17">
        <f>COUNTIF(I7:I62, "WARNING")</f>
        <v>0</v>
      </c>
      <c r="K4" s="119"/>
    </row>
    <row r="5" spans="1:11" ht="13">
      <c r="A5" s="87"/>
      <c r="B5" s="173" t="s">
        <v>209</v>
      </c>
      <c r="C5" s="166"/>
      <c r="D5" s="166"/>
      <c r="E5" s="166"/>
      <c r="F5" s="166"/>
      <c r="G5" s="166"/>
      <c r="H5" s="166"/>
      <c r="I5" s="167"/>
    </row>
    <row r="6" spans="1:11" ht="26">
      <c r="A6" s="87"/>
      <c r="B6" s="103" t="s">
        <v>161</v>
      </c>
      <c r="C6" s="128" t="s">
        <v>137</v>
      </c>
      <c r="D6" s="103" t="s">
        <v>162</v>
      </c>
      <c r="E6" s="104" t="s">
        <v>22</v>
      </c>
      <c r="F6" s="103" t="s">
        <v>23</v>
      </c>
      <c r="G6" s="103" t="s">
        <v>24</v>
      </c>
      <c r="H6" s="103" t="s">
        <v>25</v>
      </c>
      <c r="I6" s="103" t="s">
        <v>163</v>
      </c>
      <c r="J6" s="129" t="s">
        <v>27</v>
      </c>
      <c r="K6" s="129" t="s">
        <v>28</v>
      </c>
    </row>
    <row r="7" spans="1:11" ht="164.5" customHeight="1">
      <c r="A7" s="98"/>
      <c r="B7" s="106" t="s">
        <v>165</v>
      </c>
      <c r="C7" s="107" t="s">
        <v>210</v>
      </c>
      <c r="D7" s="107" t="s">
        <v>166</v>
      </c>
      <c r="E7" s="107" t="s">
        <v>67</v>
      </c>
      <c r="F7" s="130" t="s">
        <v>211</v>
      </c>
      <c r="G7" s="131" t="s">
        <v>167</v>
      </c>
      <c r="H7" s="107" t="s">
        <v>167</v>
      </c>
      <c r="I7" s="31" t="s">
        <v>9</v>
      </c>
      <c r="J7" s="119"/>
      <c r="K7" s="119"/>
    </row>
    <row r="8" spans="1:11" ht="174" customHeight="1">
      <c r="A8" s="98"/>
      <c r="B8" s="106" t="s">
        <v>169</v>
      </c>
      <c r="C8" s="107" t="s">
        <v>212</v>
      </c>
      <c r="D8" s="107" t="s">
        <v>213</v>
      </c>
      <c r="E8" s="107" t="s">
        <v>67</v>
      </c>
      <c r="F8" s="130" t="s">
        <v>214</v>
      </c>
      <c r="G8" s="131" t="s">
        <v>215</v>
      </c>
      <c r="H8" s="107" t="s">
        <v>93</v>
      </c>
      <c r="I8" s="31" t="s">
        <v>9</v>
      </c>
      <c r="J8" s="119"/>
      <c r="K8" s="119"/>
    </row>
    <row r="9" spans="1:11" ht="172" customHeight="1">
      <c r="A9" s="98"/>
      <c r="B9" s="106" t="s">
        <v>175</v>
      </c>
      <c r="C9" s="106" t="s">
        <v>216</v>
      </c>
      <c r="D9" s="107" t="s">
        <v>217</v>
      </c>
      <c r="E9" s="107" t="s">
        <v>67</v>
      </c>
      <c r="F9" s="130" t="s">
        <v>218</v>
      </c>
      <c r="G9" s="131" t="s">
        <v>219</v>
      </c>
      <c r="H9" s="107" t="s">
        <v>93</v>
      </c>
      <c r="I9" s="31" t="s">
        <v>9</v>
      </c>
      <c r="J9" s="119"/>
      <c r="K9" s="119"/>
    </row>
    <row r="10" spans="1:11" ht="172.5" customHeight="1">
      <c r="A10" s="98"/>
      <c r="B10" s="106" t="s">
        <v>183</v>
      </c>
      <c r="C10" s="107" t="s">
        <v>220</v>
      </c>
      <c r="D10" s="107" t="s">
        <v>221</v>
      </c>
      <c r="E10" s="107" t="s">
        <v>67</v>
      </c>
      <c r="F10" s="130" t="s">
        <v>222</v>
      </c>
      <c r="G10" s="131" t="s">
        <v>223</v>
      </c>
      <c r="H10" s="107" t="s">
        <v>205</v>
      </c>
      <c r="I10" s="31" t="s">
        <v>9</v>
      </c>
      <c r="J10" s="119"/>
      <c r="K10" s="119"/>
    </row>
    <row r="11" spans="1:11" ht="168" customHeight="1">
      <c r="A11" s="87"/>
      <c r="B11" s="106" t="s">
        <v>188</v>
      </c>
      <c r="C11" s="106" t="s">
        <v>224</v>
      </c>
      <c r="D11" s="107" t="s">
        <v>225</v>
      </c>
      <c r="E11" s="107" t="s">
        <v>67</v>
      </c>
      <c r="F11" s="130" t="s">
        <v>226</v>
      </c>
      <c r="G11" s="132" t="s">
        <v>227</v>
      </c>
      <c r="H11" s="107" t="s">
        <v>205</v>
      </c>
      <c r="I11" s="31" t="s">
        <v>9</v>
      </c>
      <c r="J11" s="119"/>
      <c r="K11" s="119"/>
    </row>
    <row r="12" spans="1:11" ht="168" customHeight="1">
      <c r="A12" s="87"/>
      <c r="B12" s="106" t="s">
        <v>192</v>
      </c>
      <c r="C12" s="107" t="s">
        <v>210</v>
      </c>
      <c r="D12" s="107" t="s">
        <v>166</v>
      </c>
      <c r="E12" s="107" t="s">
        <v>67</v>
      </c>
      <c r="F12" s="130" t="s">
        <v>228</v>
      </c>
      <c r="G12" s="131" t="s">
        <v>167</v>
      </c>
      <c r="H12" s="107" t="s">
        <v>167</v>
      </c>
      <c r="I12" s="31" t="s">
        <v>9</v>
      </c>
      <c r="J12" s="119"/>
      <c r="K12" s="119"/>
    </row>
    <row r="13" spans="1:11" ht="169.5" customHeight="1">
      <c r="A13" s="87"/>
      <c r="B13" s="106" t="s">
        <v>195</v>
      </c>
      <c r="C13" s="107" t="s">
        <v>212</v>
      </c>
      <c r="D13" s="107" t="s">
        <v>213</v>
      </c>
      <c r="E13" s="107" t="s">
        <v>67</v>
      </c>
      <c r="F13" s="130" t="s">
        <v>229</v>
      </c>
      <c r="G13" s="131" t="s">
        <v>215</v>
      </c>
      <c r="H13" s="107" t="s">
        <v>93</v>
      </c>
      <c r="I13" s="31" t="s">
        <v>9</v>
      </c>
      <c r="J13" s="119"/>
      <c r="K13" s="119"/>
    </row>
    <row r="14" spans="1:11" ht="192" customHeight="1">
      <c r="A14" s="87"/>
      <c r="B14" s="106" t="s">
        <v>199</v>
      </c>
      <c r="C14" s="106" t="s">
        <v>216</v>
      </c>
      <c r="D14" s="107" t="s">
        <v>217</v>
      </c>
      <c r="E14" s="107" t="s">
        <v>67</v>
      </c>
      <c r="F14" s="130" t="s">
        <v>230</v>
      </c>
      <c r="G14" s="131" t="s">
        <v>219</v>
      </c>
      <c r="H14" s="107" t="s">
        <v>93</v>
      </c>
      <c r="I14" s="31" t="s">
        <v>9</v>
      </c>
      <c r="J14" s="119"/>
      <c r="K14" s="119"/>
    </row>
    <row r="15" spans="1:11" ht="175" customHeight="1">
      <c r="A15" s="87"/>
      <c r="B15" s="106" t="s">
        <v>202</v>
      </c>
      <c r="C15" s="107" t="s">
        <v>220</v>
      </c>
      <c r="D15" s="107" t="s">
        <v>221</v>
      </c>
      <c r="E15" s="107" t="s">
        <v>67</v>
      </c>
      <c r="F15" s="130" t="s">
        <v>231</v>
      </c>
      <c r="G15" s="131" t="s">
        <v>223</v>
      </c>
      <c r="H15" s="107" t="s">
        <v>205</v>
      </c>
      <c r="I15" s="31" t="s">
        <v>9</v>
      </c>
      <c r="J15" s="119"/>
      <c r="K15" s="119"/>
    </row>
    <row r="16" spans="1:11" ht="172" customHeight="1">
      <c r="A16" s="87"/>
      <c r="B16" s="106" t="s">
        <v>232</v>
      </c>
      <c r="C16" s="106" t="s">
        <v>224</v>
      </c>
      <c r="D16" s="107" t="s">
        <v>225</v>
      </c>
      <c r="E16" s="107" t="s">
        <v>67</v>
      </c>
      <c r="F16" s="130" t="s">
        <v>233</v>
      </c>
      <c r="G16" s="132" t="s">
        <v>227</v>
      </c>
      <c r="H16" s="107" t="s">
        <v>205</v>
      </c>
      <c r="I16" s="31" t="s">
        <v>9</v>
      </c>
      <c r="J16" s="119"/>
      <c r="K16" s="119"/>
    </row>
    <row r="17" spans="1:11" ht="166" customHeight="1">
      <c r="A17" s="87"/>
      <c r="B17" s="106" t="s">
        <v>234</v>
      </c>
      <c r="C17" s="107" t="s">
        <v>210</v>
      </c>
      <c r="D17" s="107" t="s">
        <v>166</v>
      </c>
      <c r="E17" s="107" t="s">
        <v>67</v>
      </c>
      <c r="F17" s="130" t="s">
        <v>235</v>
      </c>
      <c r="G17" s="131" t="s">
        <v>167</v>
      </c>
      <c r="H17" s="107" t="s">
        <v>167</v>
      </c>
      <c r="I17" s="31" t="s">
        <v>9</v>
      </c>
      <c r="J17" s="119"/>
      <c r="K17" s="119"/>
    </row>
    <row r="18" spans="1:11" ht="177" customHeight="1">
      <c r="A18" s="87"/>
      <c r="B18" s="106" t="s">
        <v>236</v>
      </c>
      <c r="C18" s="107" t="s">
        <v>212</v>
      </c>
      <c r="D18" s="107" t="s">
        <v>213</v>
      </c>
      <c r="E18" s="107" t="s">
        <v>67</v>
      </c>
      <c r="F18" s="130" t="s">
        <v>237</v>
      </c>
      <c r="G18" s="131" t="s">
        <v>215</v>
      </c>
      <c r="H18" s="107" t="s">
        <v>93</v>
      </c>
      <c r="I18" s="31" t="s">
        <v>9</v>
      </c>
      <c r="J18" s="119"/>
      <c r="K18" s="119"/>
    </row>
    <row r="19" spans="1:11" ht="179" customHeight="1">
      <c r="A19" s="87"/>
      <c r="B19" s="106" t="s">
        <v>238</v>
      </c>
      <c r="C19" s="106" t="s">
        <v>216</v>
      </c>
      <c r="D19" s="107" t="s">
        <v>217</v>
      </c>
      <c r="E19" s="107" t="s">
        <v>67</v>
      </c>
      <c r="F19" s="130" t="s">
        <v>239</v>
      </c>
      <c r="G19" s="131" t="s">
        <v>219</v>
      </c>
      <c r="H19" s="107" t="s">
        <v>93</v>
      </c>
      <c r="I19" s="31" t="s">
        <v>9</v>
      </c>
      <c r="J19" s="119"/>
      <c r="K19" s="119"/>
    </row>
    <row r="20" spans="1:11" ht="173.5" customHeight="1">
      <c r="A20" s="87"/>
      <c r="B20" s="106" t="s">
        <v>240</v>
      </c>
      <c r="C20" s="107" t="s">
        <v>220</v>
      </c>
      <c r="D20" s="107" t="s">
        <v>221</v>
      </c>
      <c r="E20" s="107" t="s">
        <v>67</v>
      </c>
      <c r="F20" s="130" t="s">
        <v>241</v>
      </c>
      <c r="G20" s="131" t="s">
        <v>223</v>
      </c>
      <c r="H20" s="107" t="s">
        <v>205</v>
      </c>
      <c r="I20" s="31" t="s">
        <v>9</v>
      </c>
      <c r="J20" s="119"/>
      <c r="K20" s="119"/>
    </row>
    <row r="21" spans="1:11" ht="200" customHeight="1">
      <c r="A21" s="87"/>
      <c r="B21" s="106" t="s">
        <v>242</v>
      </c>
      <c r="C21" s="106" t="s">
        <v>224</v>
      </c>
      <c r="D21" s="107" t="s">
        <v>225</v>
      </c>
      <c r="E21" s="107" t="s">
        <v>67</v>
      </c>
      <c r="F21" s="130" t="s">
        <v>243</v>
      </c>
      <c r="G21" s="132" t="s">
        <v>227</v>
      </c>
      <c r="H21" s="107" t="s">
        <v>205</v>
      </c>
      <c r="I21" s="31" t="s">
        <v>9</v>
      </c>
      <c r="J21" s="119"/>
      <c r="K21" s="119"/>
    </row>
    <row r="22" spans="1:11" ht="179" customHeight="1">
      <c r="A22" s="87"/>
      <c r="B22" s="106" t="s">
        <v>244</v>
      </c>
      <c r="C22" s="107" t="s">
        <v>210</v>
      </c>
      <c r="D22" s="107" t="s">
        <v>166</v>
      </c>
      <c r="E22" s="107" t="s">
        <v>67</v>
      </c>
      <c r="F22" s="130" t="s">
        <v>245</v>
      </c>
      <c r="G22" s="131" t="s">
        <v>167</v>
      </c>
      <c r="H22" s="107" t="s">
        <v>167</v>
      </c>
      <c r="I22" s="31" t="s">
        <v>9</v>
      </c>
      <c r="J22" s="119"/>
      <c r="K22" s="119"/>
    </row>
    <row r="23" spans="1:11" ht="190.5" customHeight="1">
      <c r="A23" s="87"/>
      <c r="B23" s="106" t="s">
        <v>246</v>
      </c>
      <c r="C23" s="107" t="s">
        <v>212</v>
      </c>
      <c r="D23" s="107" t="s">
        <v>213</v>
      </c>
      <c r="E23" s="107" t="s">
        <v>67</v>
      </c>
      <c r="F23" s="130" t="s">
        <v>247</v>
      </c>
      <c r="G23" s="131" t="s">
        <v>215</v>
      </c>
      <c r="H23" s="107" t="s">
        <v>93</v>
      </c>
      <c r="I23" s="31" t="s">
        <v>9</v>
      </c>
      <c r="J23" s="119"/>
      <c r="K23" s="119"/>
    </row>
    <row r="24" spans="1:11" ht="177.5" customHeight="1">
      <c r="A24" s="87"/>
      <c r="B24" s="106" t="s">
        <v>248</v>
      </c>
      <c r="C24" s="106" t="s">
        <v>216</v>
      </c>
      <c r="D24" s="107" t="s">
        <v>217</v>
      </c>
      <c r="E24" s="107" t="s">
        <v>67</v>
      </c>
      <c r="F24" s="130" t="s">
        <v>249</v>
      </c>
      <c r="G24" s="131" t="s">
        <v>219</v>
      </c>
      <c r="H24" s="107" t="s">
        <v>93</v>
      </c>
      <c r="I24" s="31" t="s">
        <v>9</v>
      </c>
      <c r="J24" s="119"/>
      <c r="K24" s="119"/>
    </row>
    <row r="25" spans="1:11" ht="178.5" customHeight="1">
      <c r="A25" s="87"/>
      <c r="B25" s="106" t="s">
        <v>250</v>
      </c>
      <c r="C25" s="107" t="s">
        <v>220</v>
      </c>
      <c r="D25" s="107" t="s">
        <v>221</v>
      </c>
      <c r="E25" s="107" t="s">
        <v>67</v>
      </c>
      <c r="F25" s="130" t="s">
        <v>251</v>
      </c>
      <c r="G25" s="131" t="s">
        <v>223</v>
      </c>
      <c r="H25" s="107" t="s">
        <v>205</v>
      </c>
      <c r="I25" s="31" t="s">
        <v>9</v>
      </c>
      <c r="J25" s="119"/>
      <c r="K25" s="119"/>
    </row>
    <row r="26" spans="1:11" ht="197.5" customHeight="1">
      <c r="A26" s="87"/>
      <c r="B26" s="106" t="s">
        <v>252</v>
      </c>
      <c r="C26" s="106" t="s">
        <v>224</v>
      </c>
      <c r="D26" s="107" t="s">
        <v>225</v>
      </c>
      <c r="E26" s="107" t="s">
        <v>67</v>
      </c>
      <c r="F26" s="130" t="s">
        <v>253</v>
      </c>
      <c r="G26" s="132" t="s">
        <v>227</v>
      </c>
      <c r="H26" s="107" t="s">
        <v>205</v>
      </c>
      <c r="I26" s="31" t="s">
        <v>9</v>
      </c>
      <c r="J26" s="119"/>
      <c r="K26" s="119"/>
    </row>
    <row r="27" spans="1:11" ht="176.5" customHeight="1">
      <c r="A27" s="87"/>
      <c r="B27" s="106" t="s">
        <v>254</v>
      </c>
      <c r="C27" s="107" t="s">
        <v>210</v>
      </c>
      <c r="D27" s="107" t="s">
        <v>166</v>
      </c>
      <c r="E27" s="107" t="s">
        <v>67</v>
      </c>
      <c r="F27" s="130" t="s">
        <v>255</v>
      </c>
      <c r="G27" s="131" t="s">
        <v>167</v>
      </c>
      <c r="H27" s="107" t="s">
        <v>167</v>
      </c>
      <c r="I27" s="31" t="s">
        <v>9</v>
      </c>
      <c r="J27" s="119"/>
      <c r="K27" s="119"/>
    </row>
    <row r="28" spans="1:11" ht="166" customHeight="1">
      <c r="A28" s="87"/>
      <c r="B28" s="106" t="s">
        <v>256</v>
      </c>
      <c r="C28" s="107" t="s">
        <v>212</v>
      </c>
      <c r="D28" s="107" t="s">
        <v>213</v>
      </c>
      <c r="E28" s="107" t="s">
        <v>67</v>
      </c>
      <c r="F28" s="130" t="s">
        <v>257</v>
      </c>
      <c r="G28" s="131" t="s">
        <v>215</v>
      </c>
      <c r="H28" s="107" t="s">
        <v>93</v>
      </c>
      <c r="I28" s="31" t="s">
        <v>9</v>
      </c>
      <c r="J28" s="119"/>
      <c r="K28" s="119"/>
    </row>
    <row r="29" spans="1:11" ht="187.5" customHeight="1">
      <c r="A29" s="87"/>
      <c r="B29" s="106" t="s">
        <v>258</v>
      </c>
      <c r="C29" s="106" t="s">
        <v>216</v>
      </c>
      <c r="D29" s="107" t="s">
        <v>217</v>
      </c>
      <c r="E29" s="107" t="s">
        <v>67</v>
      </c>
      <c r="F29" s="130" t="s">
        <v>259</v>
      </c>
      <c r="G29" s="131" t="s">
        <v>219</v>
      </c>
      <c r="H29" s="107" t="s">
        <v>93</v>
      </c>
      <c r="I29" s="31" t="s">
        <v>9</v>
      </c>
      <c r="J29" s="119"/>
      <c r="K29" s="119"/>
    </row>
    <row r="30" spans="1:11" ht="181.5" customHeight="1">
      <c r="A30" s="87"/>
      <c r="B30" s="106" t="s">
        <v>260</v>
      </c>
      <c r="C30" s="107" t="s">
        <v>220</v>
      </c>
      <c r="D30" s="107" t="s">
        <v>221</v>
      </c>
      <c r="E30" s="107" t="s">
        <v>67</v>
      </c>
      <c r="F30" s="130" t="s">
        <v>261</v>
      </c>
      <c r="G30" s="131" t="s">
        <v>223</v>
      </c>
      <c r="H30" s="107" t="s">
        <v>205</v>
      </c>
      <c r="I30" s="31" t="s">
        <v>9</v>
      </c>
      <c r="J30" s="119"/>
      <c r="K30" s="119"/>
    </row>
    <row r="31" spans="1:11" ht="177.5" customHeight="1">
      <c r="A31" s="87"/>
      <c r="B31" s="106" t="s">
        <v>262</v>
      </c>
      <c r="C31" s="106" t="s">
        <v>224</v>
      </c>
      <c r="D31" s="107" t="s">
        <v>225</v>
      </c>
      <c r="E31" s="107" t="s">
        <v>67</v>
      </c>
      <c r="F31" s="130" t="s">
        <v>263</v>
      </c>
      <c r="G31" s="132" t="s">
        <v>227</v>
      </c>
      <c r="H31" s="131" t="s">
        <v>205</v>
      </c>
      <c r="I31" s="31" t="s">
        <v>9</v>
      </c>
      <c r="J31" s="119"/>
      <c r="K31" s="119"/>
    </row>
    <row r="32" spans="1:11" ht="170.5" customHeight="1">
      <c r="A32" s="87"/>
      <c r="B32" s="106" t="s">
        <v>264</v>
      </c>
      <c r="C32" s="107" t="s">
        <v>210</v>
      </c>
      <c r="D32" s="107" t="s">
        <v>166</v>
      </c>
      <c r="E32" s="107" t="s">
        <v>67</v>
      </c>
      <c r="F32" s="130" t="s">
        <v>265</v>
      </c>
      <c r="G32" s="131" t="s">
        <v>167</v>
      </c>
      <c r="H32" s="107" t="s">
        <v>167</v>
      </c>
      <c r="I32" s="31" t="s">
        <v>9</v>
      </c>
      <c r="J32" s="119"/>
      <c r="K32" s="119"/>
    </row>
    <row r="33" spans="1:11" ht="187" customHeight="1">
      <c r="A33" s="87"/>
      <c r="B33" s="106" t="s">
        <v>266</v>
      </c>
      <c r="C33" s="107" t="s">
        <v>212</v>
      </c>
      <c r="D33" s="107" t="s">
        <v>213</v>
      </c>
      <c r="E33" s="107" t="s">
        <v>67</v>
      </c>
      <c r="F33" s="130" t="s">
        <v>267</v>
      </c>
      <c r="G33" s="131" t="s">
        <v>215</v>
      </c>
      <c r="H33" s="107" t="s">
        <v>93</v>
      </c>
      <c r="I33" s="31" t="s">
        <v>9</v>
      </c>
      <c r="J33" s="119"/>
      <c r="K33" s="119"/>
    </row>
    <row r="34" spans="1:11" ht="180" customHeight="1">
      <c r="A34" s="87"/>
      <c r="B34" s="106" t="s">
        <v>268</v>
      </c>
      <c r="C34" s="106" t="s">
        <v>216</v>
      </c>
      <c r="D34" s="107" t="s">
        <v>217</v>
      </c>
      <c r="E34" s="107" t="s">
        <v>67</v>
      </c>
      <c r="F34" s="130" t="s">
        <v>269</v>
      </c>
      <c r="G34" s="131" t="s">
        <v>219</v>
      </c>
      <c r="H34" s="107" t="s">
        <v>93</v>
      </c>
      <c r="I34" s="31" t="s">
        <v>9</v>
      </c>
      <c r="J34" s="119"/>
      <c r="K34" s="119"/>
    </row>
    <row r="35" spans="1:11" ht="191" customHeight="1">
      <c r="A35" s="87"/>
      <c r="B35" s="106" t="s">
        <v>270</v>
      </c>
      <c r="C35" s="107" t="s">
        <v>220</v>
      </c>
      <c r="D35" s="107" t="s">
        <v>221</v>
      </c>
      <c r="E35" s="107" t="s">
        <v>67</v>
      </c>
      <c r="F35" s="130" t="s">
        <v>271</v>
      </c>
      <c r="G35" s="131" t="s">
        <v>223</v>
      </c>
      <c r="H35" s="107" t="s">
        <v>205</v>
      </c>
      <c r="I35" s="31" t="s">
        <v>9</v>
      </c>
      <c r="J35" s="119"/>
      <c r="K35" s="119"/>
    </row>
    <row r="36" spans="1:11" ht="196.5" customHeight="1">
      <c r="A36" s="87"/>
      <c r="B36" s="106" t="s">
        <v>272</v>
      </c>
      <c r="C36" s="106" t="s">
        <v>224</v>
      </c>
      <c r="D36" s="107" t="s">
        <v>225</v>
      </c>
      <c r="E36" s="107" t="s">
        <v>67</v>
      </c>
      <c r="F36" s="130" t="s">
        <v>273</v>
      </c>
      <c r="G36" s="132" t="s">
        <v>227</v>
      </c>
      <c r="H36" s="107" t="s">
        <v>205</v>
      </c>
      <c r="I36" s="31" t="s">
        <v>9</v>
      </c>
      <c r="J36" s="119"/>
      <c r="K36" s="119"/>
    </row>
    <row r="37" spans="1:11" ht="186" customHeight="1">
      <c r="A37" s="87"/>
      <c r="B37" s="106" t="s">
        <v>274</v>
      </c>
      <c r="C37" s="107" t="s">
        <v>210</v>
      </c>
      <c r="D37" s="107" t="s">
        <v>166</v>
      </c>
      <c r="E37" s="107" t="s">
        <v>67</v>
      </c>
      <c r="F37" s="130" t="s">
        <v>275</v>
      </c>
      <c r="G37" s="131" t="s">
        <v>167</v>
      </c>
      <c r="H37" s="107" t="s">
        <v>167</v>
      </c>
      <c r="I37" s="31" t="s">
        <v>9</v>
      </c>
      <c r="J37" s="119"/>
      <c r="K37" s="119"/>
    </row>
    <row r="38" spans="1:11" ht="175" customHeight="1">
      <c r="A38" s="87"/>
      <c r="B38" s="107" t="s">
        <v>276</v>
      </c>
      <c r="C38" s="107" t="s">
        <v>212</v>
      </c>
      <c r="D38" s="107" t="s">
        <v>213</v>
      </c>
      <c r="E38" s="107" t="s">
        <v>67</v>
      </c>
      <c r="F38" s="130" t="s">
        <v>277</v>
      </c>
      <c r="G38" s="131" t="s">
        <v>215</v>
      </c>
      <c r="H38" s="107" t="s">
        <v>93</v>
      </c>
      <c r="I38" s="31" t="s">
        <v>9</v>
      </c>
      <c r="J38" s="119"/>
      <c r="K38" s="119"/>
    </row>
    <row r="39" spans="1:11" ht="176" customHeight="1">
      <c r="A39" s="87"/>
      <c r="B39" s="106" t="s">
        <v>278</v>
      </c>
      <c r="C39" s="106" t="s">
        <v>216</v>
      </c>
      <c r="D39" s="107" t="s">
        <v>217</v>
      </c>
      <c r="E39" s="107" t="s">
        <v>67</v>
      </c>
      <c r="F39" s="130" t="s">
        <v>279</v>
      </c>
      <c r="G39" s="131" t="s">
        <v>219</v>
      </c>
      <c r="H39" s="107" t="s">
        <v>93</v>
      </c>
      <c r="I39" s="31" t="s">
        <v>9</v>
      </c>
      <c r="J39" s="119"/>
      <c r="K39" s="119"/>
    </row>
    <row r="40" spans="1:11" ht="191.5" customHeight="1">
      <c r="A40" s="87"/>
      <c r="B40" s="106" t="s">
        <v>280</v>
      </c>
      <c r="C40" s="107" t="s">
        <v>220</v>
      </c>
      <c r="D40" s="107" t="s">
        <v>221</v>
      </c>
      <c r="E40" s="107" t="s">
        <v>67</v>
      </c>
      <c r="F40" s="130" t="s">
        <v>281</v>
      </c>
      <c r="G40" s="131" t="s">
        <v>223</v>
      </c>
      <c r="H40" s="107" t="s">
        <v>205</v>
      </c>
      <c r="I40" s="31" t="s">
        <v>9</v>
      </c>
      <c r="J40" s="119"/>
      <c r="K40" s="119"/>
    </row>
    <row r="41" spans="1:11" ht="168.5" customHeight="1">
      <c r="A41" s="87"/>
      <c r="B41" s="106" t="s">
        <v>282</v>
      </c>
      <c r="C41" s="106" t="s">
        <v>224</v>
      </c>
      <c r="D41" s="107" t="s">
        <v>225</v>
      </c>
      <c r="E41" s="107" t="s">
        <v>67</v>
      </c>
      <c r="F41" s="130" t="s">
        <v>283</v>
      </c>
      <c r="G41" s="132" t="s">
        <v>227</v>
      </c>
      <c r="H41" s="107" t="s">
        <v>205</v>
      </c>
      <c r="I41" s="31" t="s">
        <v>9</v>
      </c>
      <c r="J41" s="119"/>
      <c r="K41" s="119"/>
    </row>
    <row r="42" spans="1:11" ht="181.5" customHeight="1">
      <c r="A42" s="87"/>
      <c r="B42" s="106" t="s">
        <v>284</v>
      </c>
      <c r="C42" s="107" t="s">
        <v>210</v>
      </c>
      <c r="D42" s="107" t="s">
        <v>166</v>
      </c>
      <c r="E42" s="107" t="s">
        <v>67</v>
      </c>
      <c r="F42" s="130" t="s">
        <v>285</v>
      </c>
      <c r="G42" s="131" t="s">
        <v>167</v>
      </c>
      <c r="H42" s="107" t="s">
        <v>167</v>
      </c>
      <c r="I42" s="31" t="s">
        <v>9</v>
      </c>
      <c r="J42" s="119"/>
      <c r="K42" s="119"/>
    </row>
    <row r="43" spans="1:11" ht="162.5" customHeight="1">
      <c r="A43" s="87"/>
      <c r="B43" s="106" t="s">
        <v>286</v>
      </c>
      <c r="C43" s="107" t="s">
        <v>212</v>
      </c>
      <c r="D43" s="107" t="s">
        <v>213</v>
      </c>
      <c r="E43" s="107" t="s">
        <v>67</v>
      </c>
      <c r="F43" s="130" t="s">
        <v>287</v>
      </c>
      <c r="G43" s="131" t="s">
        <v>215</v>
      </c>
      <c r="H43" s="107" t="s">
        <v>93</v>
      </c>
      <c r="I43" s="31" t="s">
        <v>9</v>
      </c>
      <c r="J43" s="119"/>
      <c r="K43" s="119"/>
    </row>
    <row r="44" spans="1:11" ht="191" customHeight="1">
      <c r="A44" s="87"/>
      <c r="B44" s="106" t="s">
        <v>288</v>
      </c>
      <c r="C44" s="106" t="s">
        <v>216</v>
      </c>
      <c r="D44" s="107" t="s">
        <v>217</v>
      </c>
      <c r="E44" s="107" t="s">
        <v>67</v>
      </c>
      <c r="F44" s="130" t="s">
        <v>289</v>
      </c>
      <c r="G44" s="131" t="s">
        <v>219</v>
      </c>
      <c r="H44" s="107" t="s">
        <v>93</v>
      </c>
      <c r="I44" s="31" t="s">
        <v>9</v>
      </c>
      <c r="J44" s="119"/>
      <c r="K44" s="119"/>
    </row>
    <row r="45" spans="1:11" ht="192" customHeight="1">
      <c r="A45" s="87"/>
      <c r="B45" s="106" t="s">
        <v>290</v>
      </c>
      <c r="C45" s="107" t="s">
        <v>220</v>
      </c>
      <c r="D45" s="107" t="s">
        <v>221</v>
      </c>
      <c r="E45" s="107" t="s">
        <v>67</v>
      </c>
      <c r="F45" s="130" t="s">
        <v>291</v>
      </c>
      <c r="G45" s="131" t="s">
        <v>223</v>
      </c>
      <c r="H45" s="107" t="s">
        <v>205</v>
      </c>
      <c r="I45" s="31" t="s">
        <v>9</v>
      </c>
      <c r="J45" s="119"/>
      <c r="K45" s="119"/>
    </row>
    <row r="46" spans="1:11" ht="186.5" customHeight="1">
      <c r="A46" s="87"/>
      <c r="B46" s="106" t="s">
        <v>292</v>
      </c>
      <c r="C46" s="106" t="s">
        <v>224</v>
      </c>
      <c r="D46" s="107" t="s">
        <v>225</v>
      </c>
      <c r="E46" s="107" t="s">
        <v>67</v>
      </c>
      <c r="F46" s="130" t="s">
        <v>293</v>
      </c>
      <c r="G46" s="132" t="s">
        <v>227</v>
      </c>
      <c r="H46" s="107" t="s">
        <v>205</v>
      </c>
      <c r="I46" s="31" t="s">
        <v>9</v>
      </c>
      <c r="J46" s="119"/>
      <c r="K46" s="119"/>
    </row>
    <row r="47" spans="1:11" ht="172.5" customHeight="1">
      <c r="A47" s="87"/>
      <c r="B47" s="106" t="s">
        <v>294</v>
      </c>
      <c r="C47" s="107" t="s">
        <v>210</v>
      </c>
      <c r="D47" s="107" t="s">
        <v>166</v>
      </c>
      <c r="E47" s="107" t="s">
        <v>67</v>
      </c>
      <c r="F47" s="130" t="s">
        <v>295</v>
      </c>
      <c r="G47" s="131" t="s">
        <v>167</v>
      </c>
      <c r="H47" s="107" t="s">
        <v>167</v>
      </c>
      <c r="I47" s="31" t="s">
        <v>9</v>
      </c>
      <c r="J47" s="119"/>
      <c r="K47" s="119"/>
    </row>
    <row r="48" spans="1:11" ht="170" customHeight="1">
      <c r="A48" s="87"/>
      <c r="B48" s="133" t="s">
        <v>296</v>
      </c>
      <c r="C48" s="107" t="s">
        <v>212</v>
      </c>
      <c r="D48" s="107" t="s">
        <v>213</v>
      </c>
      <c r="E48" s="107" t="s">
        <v>67</v>
      </c>
      <c r="F48" s="130" t="s">
        <v>297</v>
      </c>
      <c r="G48" s="131" t="s">
        <v>215</v>
      </c>
      <c r="H48" s="107" t="s">
        <v>93</v>
      </c>
      <c r="I48" s="31" t="s">
        <v>9</v>
      </c>
      <c r="J48" s="119"/>
      <c r="K48" s="119"/>
    </row>
  </sheetData>
  <mergeCells count="5">
    <mergeCell ref="B1:E1"/>
    <mergeCell ref="B2:E2"/>
    <mergeCell ref="B3:E3"/>
    <mergeCell ref="B4:E4"/>
    <mergeCell ref="B5:I5"/>
  </mergeCells>
  <dataValidations count="1">
    <dataValidation type="list" allowBlank="1" showInputMessage="1" showErrorMessage="1" prompt="Click and enter a value from the list of items" sqref="I7:I48">
      <formula1>"PASS,FAIL,WARNING"</formula1>
    </dataValidation>
  </dataValidations>
  <hyperlinks>
    <hyperlink ref="F7" r:id="rId1"/>
    <hyperlink ref="G7" r:id="rId2"/>
    <hyperlink ref="F8" r:id="rId3"/>
    <hyperlink ref="G8" r:id="rId4"/>
    <hyperlink ref="F9" r:id="rId5"/>
    <hyperlink ref="G9" r:id="rId6"/>
    <hyperlink ref="F10" r:id="rId7"/>
    <hyperlink ref="G10" r:id="rId8"/>
    <hyperlink ref="F11" r:id="rId9"/>
    <hyperlink ref="G11" r:id="rId10"/>
    <hyperlink ref="F12" r:id="rId11"/>
    <hyperlink ref="G12" r:id="rId12"/>
    <hyperlink ref="F13" r:id="rId13"/>
    <hyperlink ref="G13" r:id="rId14"/>
    <hyperlink ref="F14" r:id="rId15"/>
    <hyperlink ref="G14" r:id="rId16"/>
    <hyperlink ref="F15" r:id="rId17"/>
    <hyperlink ref="G15" r:id="rId18"/>
    <hyperlink ref="F16" r:id="rId19"/>
    <hyperlink ref="G16" r:id="rId20"/>
    <hyperlink ref="F17" r:id="rId21"/>
    <hyperlink ref="G17" r:id="rId22"/>
    <hyperlink ref="F18" r:id="rId23"/>
    <hyperlink ref="G18" r:id="rId24"/>
    <hyperlink ref="F19" r:id="rId25"/>
    <hyperlink ref="G19" r:id="rId26"/>
    <hyperlink ref="F20" r:id="rId27"/>
    <hyperlink ref="G20" r:id="rId28"/>
    <hyperlink ref="F21" r:id="rId29"/>
    <hyperlink ref="G21" r:id="rId30"/>
    <hyperlink ref="F22" r:id="rId31"/>
    <hyperlink ref="G22" r:id="rId32"/>
    <hyperlink ref="F23" r:id="rId33"/>
    <hyperlink ref="G23" r:id="rId34"/>
    <hyperlink ref="F24" r:id="rId35"/>
    <hyperlink ref="G24" r:id="rId36"/>
    <hyperlink ref="F25" r:id="rId37"/>
    <hyperlink ref="G25" r:id="rId38"/>
    <hyperlink ref="F26" r:id="rId39"/>
    <hyperlink ref="G26" r:id="rId40"/>
    <hyperlink ref="F27" r:id="rId41"/>
    <hyperlink ref="G27" r:id="rId42"/>
    <hyperlink ref="F28" r:id="rId43"/>
    <hyperlink ref="G28" r:id="rId44"/>
    <hyperlink ref="F29" r:id="rId45"/>
    <hyperlink ref="G29" r:id="rId46"/>
    <hyperlink ref="F30" r:id="rId47"/>
    <hyperlink ref="G30" r:id="rId48"/>
    <hyperlink ref="F31" r:id="rId49"/>
    <hyperlink ref="G31" r:id="rId50"/>
    <hyperlink ref="H31" r:id="rId51"/>
    <hyperlink ref="F32" r:id="rId52"/>
    <hyperlink ref="G32" r:id="rId53"/>
    <hyperlink ref="F33" r:id="rId54"/>
    <hyperlink ref="G33" r:id="rId55"/>
    <hyperlink ref="F34" r:id="rId56"/>
    <hyperlink ref="G34" r:id="rId57"/>
    <hyperlink ref="F35" r:id="rId58"/>
    <hyperlink ref="G35" r:id="rId59"/>
    <hyperlink ref="F36" r:id="rId60"/>
    <hyperlink ref="G36" r:id="rId61"/>
    <hyperlink ref="F37" r:id="rId62"/>
    <hyperlink ref="G37" r:id="rId63"/>
    <hyperlink ref="F38" r:id="rId64"/>
    <hyperlink ref="G38" r:id="rId65"/>
    <hyperlink ref="F39" r:id="rId66"/>
    <hyperlink ref="G39" r:id="rId67"/>
    <hyperlink ref="F40" r:id="rId68"/>
    <hyperlink ref="G40" r:id="rId69"/>
    <hyperlink ref="F41" r:id="rId70"/>
    <hyperlink ref="G41" r:id="rId71"/>
    <hyperlink ref="F42" r:id="rId72"/>
    <hyperlink ref="G42" r:id="rId73"/>
    <hyperlink ref="F43" r:id="rId74"/>
    <hyperlink ref="G43" r:id="rId75"/>
    <hyperlink ref="F44" r:id="rId76"/>
    <hyperlink ref="G44" r:id="rId77"/>
    <hyperlink ref="F45" r:id="rId78"/>
    <hyperlink ref="G45" r:id="rId79"/>
    <hyperlink ref="F46" r:id="rId80"/>
    <hyperlink ref="G46" r:id="rId81"/>
    <hyperlink ref="F47" r:id="rId82"/>
    <hyperlink ref="G47" r:id="rId83"/>
    <hyperlink ref="F48" r:id="rId84"/>
    <hyperlink ref="G48" r:id="rId8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K21"/>
  <sheetViews>
    <sheetView workbookViewId="0">
      <selection activeCell="G3" sqref="G3"/>
    </sheetView>
  </sheetViews>
  <sheetFormatPr defaultColWidth="14.3984375" defaultRowHeight="15" customHeight="1"/>
  <cols>
    <col min="4" max="4" width="0.3984375" customWidth="1"/>
    <col min="6" max="6" width="22.09765625" customWidth="1"/>
    <col min="7" max="7" width="34" customWidth="1"/>
  </cols>
  <sheetData>
    <row r="1" spans="2:11" ht="35.5" customHeight="1">
      <c r="B1" s="134" t="s">
        <v>298</v>
      </c>
      <c r="C1" s="170" t="s">
        <v>0</v>
      </c>
      <c r="D1" s="161"/>
      <c r="E1" s="161"/>
      <c r="F1" s="159"/>
      <c r="G1" s="115" t="s">
        <v>130</v>
      </c>
      <c r="H1" s="116" t="s">
        <v>3</v>
      </c>
      <c r="I1" s="117" t="s">
        <v>157</v>
      </c>
      <c r="J1" s="135" t="s">
        <v>4</v>
      </c>
      <c r="K1" s="119"/>
    </row>
    <row r="2" spans="2:11" ht="15" customHeight="1">
      <c r="B2" s="87"/>
      <c r="C2" s="172" t="s">
        <v>5</v>
      </c>
      <c r="D2" s="166"/>
      <c r="E2" s="166"/>
      <c r="F2" s="167"/>
      <c r="G2" s="120" t="s">
        <v>207</v>
      </c>
      <c r="H2" s="121" t="s">
        <v>8</v>
      </c>
      <c r="I2" s="122" t="s">
        <v>208</v>
      </c>
      <c r="J2" s="136" t="s">
        <v>299</v>
      </c>
      <c r="K2" s="137"/>
    </row>
    <row r="3" spans="2:11" ht="15" customHeight="1">
      <c r="B3" s="87"/>
      <c r="C3" s="172" t="s">
        <v>158</v>
      </c>
      <c r="D3" s="166"/>
      <c r="E3" s="166"/>
      <c r="F3" s="167"/>
      <c r="G3" s="154" t="s">
        <v>320</v>
      </c>
      <c r="H3" s="124" t="s">
        <v>12</v>
      </c>
      <c r="I3" s="125" t="s">
        <v>159</v>
      </c>
      <c r="J3" s="138" t="s">
        <v>300</v>
      </c>
      <c r="K3" s="137"/>
    </row>
    <row r="4" spans="2:11" ht="15" customHeight="1">
      <c r="B4" s="98"/>
      <c r="C4" s="172" t="s">
        <v>160</v>
      </c>
      <c r="D4" s="166"/>
      <c r="E4" s="166"/>
      <c r="F4" s="167"/>
      <c r="G4" s="154" t="s">
        <v>320</v>
      </c>
      <c r="H4" s="124" t="s">
        <v>17</v>
      </c>
      <c r="I4" s="125" t="s">
        <v>159</v>
      </c>
      <c r="J4" s="139"/>
      <c r="K4" s="140"/>
    </row>
    <row r="5" spans="2:11" ht="15" customHeight="1">
      <c r="B5" s="87"/>
      <c r="C5" s="173" t="s">
        <v>301</v>
      </c>
      <c r="D5" s="166"/>
      <c r="E5" s="166"/>
      <c r="F5" s="166"/>
      <c r="G5" s="166"/>
      <c r="H5" s="166"/>
      <c r="I5" s="166"/>
      <c r="J5" s="167"/>
      <c r="K5" s="119"/>
    </row>
    <row r="8" spans="2:11" ht="15" customHeight="1">
      <c r="D8" s="87"/>
    </row>
    <row r="9" spans="2:11" ht="15" customHeight="1">
      <c r="C9" s="141"/>
      <c r="D9" s="141"/>
      <c r="E9" s="141"/>
      <c r="F9" s="142" t="s">
        <v>302</v>
      </c>
      <c r="G9" s="142" t="s">
        <v>303</v>
      </c>
      <c r="H9" s="141"/>
      <c r="I9" s="141"/>
      <c r="J9" s="141"/>
    </row>
    <row r="10" spans="2:11" ht="15" customHeight="1">
      <c r="F10" s="143" t="s">
        <v>304</v>
      </c>
      <c r="G10" s="144" t="s">
        <v>305</v>
      </c>
    </row>
    <row r="11" spans="2:11" ht="15" customHeight="1">
      <c r="F11" s="143" t="s">
        <v>306</v>
      </c>
      <c r="G11" s="145">
        <v>0.43</v>
      </c>
    </row>
    <row r="12" spans="2:11" ht="15" customHeight="1">
      <c r="F12" s="143" t="s">
        <v>300</v>
      </c>
      <c r="G12" s="145">
        <v>0.73</v>
      </c>
    </row>
    <row r="13" spans="2:11" ht="15" customHeight="1">
      <c r="F13" s="146" t="s">
        <v>307</v>
      </c>
      <c r="G13" s="144" t="s">
        <v>308</v>
      </c>
    </row>
    <row r="14" spans="2:11" ht="15" customHeight="1">
      <c r="F14" s="143" t="s">
        <v>309</v>
      </c>
      <c r="G14" s="144" t="s">
        <v>310</v>
      </c>
    </row>
    <row r="15" spans="2:11" ht="15" customHeight="1">
      <c r="F15" s="143" t="s">
        <v>311</v>
      </c>
      <c r="G15" s="143">
        <v>0.21</v>
      </c>
    </row>
    <row r="16" spans="2:11" ht="15" customHeight="1">
      <c r="F16" s="143" t="s">
        <v>312</v>
      </c>
      <c r="G16" s="144" t="s">
        <v>310</v>
      </c>
    </row>
    <row r="17" spans="6:7" ht="15" customHeight="1">
      <c r="F17" s="143" t="s">
        <v>313</v>
      </c>
      <c r="G17" s="144" t="s">
        <v>314</v>
      </c>
    </row>
    <row r="18" spans="6:7" ht="15" customHeight="1">
      <c r="F18" s="143" t="s">
        <v>315</v>
      </c>
      <c r="G18" s="144" t="s">
        <v>316</v>
      </c>
    </row>
    <row r="19" spans="6:7" ht="15" customHeight="1">
      <c r="F19" s="143" t="s">
        <v>317</v>
      </c>
      <c r="G19" s="144" t="s">
        <v>308</v>
      </c>
    </row>
    <row r="20" spans="6:7" ht="15" customHeight="1">
      <c r="F20" s="143" t="s">
        <v>318</v>
      </c>
      <c r="G20" s="144" t="s">
        <v>308</v>
      </c>
    </row>
    <row r="21" spans="6:7" ht="15" customHeight="1">
      <c r="F21" s="143" t="s">
        <v>319</v>
      </c>
      <c r="G21" s="143">
        <v>0.21</v>
      </c>
    </row>
  </sheetData>
  <mergeCells count="5">
    <mergeCell ref="C1:F1"/>
    <mergeCell ref="C2:F2"/>
    <mergeCell ref="C3:F3"/>
    <mergeCell ref="C4:F4"/>
    <mergeCell ref="C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Sign Up and Log-In</vt:lpstr>
      <vt:lpstr>App Home Page</vt:lpstr>
      <vt:lpstr>Features</vt:lpstr>
      <vt:lpstr>login</vt:lpstr>
      <vt:lpstr>usability testing</vt:lpstr>
      <vt:lpstr>Performance test</vt:lpstr>
      <vt:lpstr>mm</vt:lpstr>
      <vt:lpstr>verify_package_Design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RITT</cp:lastModifiedBy>
  <dcterms:modified xsi:type="dcterms:W3CDTF">2026-01-29T01:18:56Z</dcterms:modified>
</cp:coreProperties>
</file>